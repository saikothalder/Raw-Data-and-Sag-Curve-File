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3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4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5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6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7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8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9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10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11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12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13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14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15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16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17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18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1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9b87a80a19113a/Desktop/Springer Nature all file/Report/2nd Rivision/2nd re-submission file/"/>
    </mc:Choice>
  </mc:AlternateContent>
  <xr:revisionPtr revIDLastSave="12" documentId="13_ncr:1_{38D1E16E-BCFF-42D4-9846-B7EB478711A1}" xr6:coauthVersionLast="47" xr6:coauthVersionMax="47" xr10:uidLastSave="{7411560E-94A5-4FEC-91D4-769C17D04695}"/>
  <bookViews>
    <workbookView xWindow="-108" yWindow="-108" windowWidth="23256" windowHeight="12456" xr2:uid="{ACAC449A-A63F-4FEB-942A-721EFD9739E5}"/>
  </bookViews>
  <sheets>
    <sheet name="Actual Data" sheetId="1" r:id="rId1"/>
    <sheet name="Sag curv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" i="1" l="1"/>
  <c r="Q4" i="2" l="1"/>
  <c r="M4" i="2" l="1"/>
  <c r="O4" i="2" s="1"/>
  <c r="N42" i="1" l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Q42" i="1" l="1"/>
  <c r="S42" i="1" s="1"/>
  <c r="M42" i="1"/>
  <c r="P42" i="1" s="1"/>
  <c r="Q41" i="1"/>
  <c r="S41" i="1" s="1"/>
  <c r="M41" i="1"/>
  <c r="P41" i="1" s="1"/>
  <c r="Q40" i="1"/>
  <c r="S40" i="1" s="1"/>
  <c r="M40" i="1"/>
  <c r="P40" i="1" s="1"/>
  <c r="Q39" i="1"/>
  <c r="M39" i="1"/>
  <c r="P39" i="1" s="1"/>
  <c r="Q38" i="1"/>
  <c r="S38" i="1" s="1"/>
  <c r="M38" i="1"/>
  <c r="P38" i="1" s="1"/>
  <c r="T38" i="1" s="1"/>
  <c r="W38" i="1" s="1"/>
  <c r="Q37" i="1"/>
  <c r="S37" i="1" s="1"/>
  <c r="M37" i="1"/>
  <c r="P37" i="1" s="1"/>
  <c r="Q36" i="1"/>
  <c r="S36" i="1" s="1"/>
  <c r="M36" i="1"/>
  <c r="Q35" i="1"/>
  <c r="S35" i="1" s="1"/>
  <c r="M35" i="1"/>
  <c r="P35" i="1" s="1"/>
  <c r="Q34" i="1"/>
  <c r="S34" i="1" s="1"/>
  <c r="M34" i="1"/>
  <c r="P34" i="1" s="1"/>
  <c r="Q33" i="1"/>
  <c r="S33" i="1" s="1"/>
  <c r="M33" i="1"/>
  <c r="P33" i="1" s="1"/>
  <c r="Q32" i="1"/>
  <c r="S32" i="1" s="1"/>
  <c r="M32" i="1"/>
  <c r="Q31" i="1"/>
  <c r="S31" i="1" s="1"/>
  <c r="M31" i="1"/>
  <c r="P31" i="1" s="1"/>
  <c r="Q30" i="1"/>
  <c r="S30" i="1" s="1"/>
  <c r="M30" i="1"/>
  <c r="P30" i="1" s="1"/>
  <c r="Q29" i="1"/>
  <c r="S29" i="1" s="1"/>
  <c r="M29" i="1"/>
  <c r="P29" i="1" s="1"/>
  <c r="Q28" i="1"/>
  <c r="S28" i="1" s="1"/>
  <c r="M28" i="1"/>
  <c r="Q27" i="1"/>
  <c r="M27" i="1"/>
  <c r="P27" i="1" s="1"/>
  <c r="Q26" i="1"/>
  <c r="S26" i="1" s="1"/>
  <c r="M26" i="1"/>
  <c r="P26" i="1" s="1"/>
  <c r="Q25" i="1"/>
  <c r="S25" i="1" s="1"/>
  <c r="M25" i="1"/>
  <c r="P25" i="1" s="1"/>
  <c r="Q24" i="1"/>
  <c r="S24" i="1" s="1"/>
  <c r="M24" i="1"/>
  <c r="Q23" i="1"/>
  <c r="S23" i="1" s="1"/>
  <c r="M23" i="1"/>
  <c r="P23" i="1" s="1"/>
  <c r="Q22" i="1"/>
  <c r="S22" i="1" s="1"/>
  <c r="M22" i="1"/>
  <c r="P22" i="1" s="1"/>
  <c r="Q21" i="1"/>
  <c r="S21" i="1" s="1"/>
  <c r="M21" i="1"/>
  <c r="P21" i="1" s="1"/>
  <c r="Q20" i="1"/>
  <c r="S20" i="1" s="1"/>
  <c r="M20" i="1"/>
  <c r="Q19" i="1"/>
  <c r="S19" i="1" s="1"/>
  <c r="M19" i="1"/>
  <c r="P19" i="1" s="1"/>
  <c r="Q18" i="1"/>
  <c r="S18" i="1" s="1"/>
  <c r="M18" i="1"/>
  <c r="P18" i="1" s="1"/>
  <c r="Q17" i="1"/>
  <c r="S17" i="1" s="1"/>
  <c r="M17" i="1"/>
  <c r="P17" i="1" s="1"/>
  <c r="Q16" i="1"/>
  <c r="S16" i="1" s="1"/>
  <c r="M16" i="1"/>
  <c r="Q15" i="1"/>
  <c r="S15" i="1" s="1"/>
  <c r="M15" i="1"/>
  <c r="P15" i="1" s="1"/>
  <c r="Q14" i="1"/>
  <c r="S14" i="1" s="1"/>
  <c r="M14" i="1"/>
  <c r="Q13" i="1"/>
  <c r="S13" i="1" s="1"/>
  <c r="M13" i="1"/>
  <c r="P13" i="1" s="1"/>
  <c r="Q12" i="1"/>
  <c r="S12" i="1" s="1"/>
  <c r="M12" i="1"/>
  <c r="Q11" i="1"/>
  <c r="S11" i="1" s="1"/>
  <c r="M11" i="1"/>
  <c r="Q10" i="1"/>
  <c r="S10" i="1" s="1"/>
  <c r="M10" i="1"/>
  <c r="P10" i="1" s="1"/>
  <c r="Q9" i="1"/>
  <c r="S9" i="1" s="1"/>
  <c r="M9" i="1"/>
  <c r="P9" i="1" s="1"/>
  <c r="Q8" i="1"/>
  <c r="S8" i="1" s="1"/>
  <c r="M8" i="1"/>
  <c r="Q7" i="1"/>
  <c r="S7" i="1" s="1"/>
  <c r="M7" i="1"/>
  <c r="P7" i="1" s="1"/>
  <c r="Q6" i="1"/>
  <c r="S6" i="1" s="1"/>
  <c r="M6" i="1"/>
  <c r="P6" i="1" s="1"/>
  <c r="Q5" i="1"/>
  <c r="M5" i="1"/>
  <c r="P5" i="1" s="1"/>
  <c r="T37" i="1" l="1"/>
  <c r="W37" i="1" s="1"/>
  <c r="S5" i="1"/>
  <c r="T19" i="1"/>
  <c r="W19" i="1" s="1"/>
  <c r="P11" i="1"/>
  <c r="T11" i="1" s="1"/>
  <c r="T17" i="1"/>
  <c r="W17" i="1" s="1"/>
  <c r="T29" i="1"/>
  <c r="W29" i="1" s="1"/>
  <c r="P14" i="1"/>
  <c r="T14" i="1" s="1"/>
  <c r="T6" i="1"/>
  <c r="W6" i="1" s="1"/>
  <c r="T33" i="1"/>
  <c r="W33" i="1" s="1"/>
  <c r="T22" i="1"/>
  <c r="W22" i="1" s="1"/>
  <c r="T26" i="1"/>
  <c r="W26" i="1" s="1"/>
  <c r="T10" i="1"/>
  <c r="W10" i="1" s="1"/>
  <c r="T23" i="1"/>
  <c r="W23" i="1" s="1"/>
  <c r="T15" i="1"/>
  <c r="W15" i="1" s="1"/>
  <c r="T18" i="1"/>
  <c r="W18" i="1" s="1"/>
  <c r="T30" i="1"/>
  <c r="W30" i="1" s="1"/>
  <c r="T40" i="1"/>
  <c r="W40" i="1" s="1"/>
  <c r="T41" i="1"/>
  <c r="W41" i="1" s="1"/>
  <c r="T34" i="1"/>
  <c r="W34" i="1" s="1"/>
  <c r="T5" i="1"/>
  <c r="T42" i="1"/>
  <c r="W42" i="1" s="1"/>
  <c r="T9" i="1"/>
  <c r="P16" i="1"/>
  <c r="T16" i="1" s="1"/>
  <c r="W16" i="1" s="1"/>
  <c r="T31" i="1"/>
  <c r="W31" i="1" s="1"/>
  <c r="T35" i="1"/>
  <c r="W35" i="1" s="1"/>
  <c r="P8" i="1"/>
  <c r="P12" i="1"/>
  <c r="T12" i="1" s="1"/>
  <c r="W12" i="1" s="1"/>
  <c r="T7" i="1"/>
  <c r="W7" i="1" s="1"/>
  <c r="T13" i="1"/>
  <c r="T21" i="1"/>
  <c r="W21" i="1" s="1"/>
  <c r="T25" i="1"/>
  <c r="W25" i="1" s="1"/>
  <c r="U29" i="1"/>
  <c r="V29" i="1" s="1"/>
  <c r="U37" i="1"/>
  <c r="V37" i="1" s="1"/>
  <c r="S27" i="1"/>
  <c r="S39" i="1"/>
  <c r="T39" i="1" s="1"/>
  <c r="U15" i="1"/>
  <c r="V15" i="1" s="1"/>
  <c r="P20" i="1"/>
  <c r="T20" i="1" s="1"/>
  <c r="W20" i="1" s="1"/>
  <c r="P24" i="1"/>
  <c r="P28" i="1"/>
  <c r="T28" i="1" s="1"/>
  <c r="P32" i="1"/>
  <c r="P36" i="1"/>
  <c r="U18" i="1"/>
  <c r="V18" i="1" s="1"/>
  <c r="U34" i="1"/>
  <c r="V34" i="1" s="1"/>
  <c r="U38" i="1"/>
  <c r="V38" i="1" s="1"/>
  <c r="U10" i="1" l="1"/>
  <c r="V10" i="1" s="1"/>
  <c r="U26" i="1"/>
  <c r="V26" i="1" s="1"/>
  <c r="U41" i="1"/>
  <c r="V41" i="1" s="1"/>
  <c r="U22" i="1"/>
  <c r="V22" i="1" s="1"/>
  <c r="U19" i="1"/>
  <c r="V19" i="1" s="1"/>
  <c r="U23" i="1"/>
  <c r="V23" i="1" s="1"/>
  <c r="U30" i="1"/>
  <c r="V30" i="1" s="1"/>
  <c r="W14" i="1"/>
  <c r="U14" i="1"/>
  <c r="V14" i="1" s="1"/>
  <c r="U40" i="1"/>
  <c r="V40" i="1" s="1"/>
  <c r="U42" i="1"/>
  <c r="V42" i="1" s="1"/>
  <c r="U6" i="1"/>
  <c r="V6" i="1" s="1"/>
  <c r="U33" i="1"/>
  <c r="V33" i="1" s="1"/>
  <c r="W11" i="1"/>
  <c r="U11" i="1"/>
  <c r="V11" i="1" s="1"/>
  <c r="U17" i="1"/>
  <c r="V17" i="1" s="1"/>
  <c r="T27" i="1"/>
  <c r="W27" i="1" s="1"/>
  <c r="U20" i="1"/>
  <c r="V20" i="1" s="1"/>
  <c r="U35" i="1"/>
  <c r="V35" i="1" s="1"/>
  <c r="U21" i="1"/>
  <c r="V21" i="1" s="1"/>
  <c r="U12" i="1"/>
  <c r="V12" i="1" s="1"/>
  <c r="U16" i="1"/>
  <c r="V16" i="1" s="1"/>
  <c r="W28" i="1"/>
  <c r="U28" i="1"/>
  <c r="V28" i="1" s="1"/>
  <c r="W39" i="1"/>
  <c r="U39" i="1"/>
  <c r="V39" i="1" s="1"/>
  <c r="T32" i="1"/>
  <c r="W32" i="1" s="1"/>
  <c r="T36" i="1"/>
  <c r="W13" i="1"/>
  <c r="U13" i="1"/>
  <c r="V13" i="1" s="1"/>
  <c r="U5" i="1"/>
  <c r="V5" i="1" s="1"/>
  <c r="T8" i="1"/>
  <c r="W8" i="1" s="1"/>
  <c r="T24" i="1"/>
  <c r="W24" i="1" s="1"/>
  <c r="W9" i="1"/>
  <c r="U9" i="1"/>
  <c r="V9" i="1" s="1"/>
  <c r="U7" i="1"/>
  <c r="V7" i="1" s="1"/>
  <c r="U31" i="1"/>
  <c r="V31" i="1" s="1"/>
  <c r="U25" i="1"/>
  <c r="V25" i="1" s="1"/>
  <c r="U27" i="1" l="1"/>
  <c r="V27" i="1" s="1"/>
  <c r="W36" i="1"/>
  <c r="U36" i="1"/>
  <c r="V36" i="1" s="1"/>
  <c r="U8" i="1"/>
  <c r="V8" i="1" s="1"/>
  <c r="U32" i="1"/>
  <c r="V32" i="1" s="1"/>
  <c r="U24" i="1"/>
  <c r="V24" i="1" s="1"/>
</calcChain>
</file>

<file path=xl/sharedStrings.xml><?xml version="1.0" encoding="utf-8"?>
<sst xmlns="http://schemas.openxmlformats.org/spreadsheetml/2006/main" count="330" uniqueCount="116">
  <si>
    <t>Station</t>
  </si>
  <si>
    <t>Temperature (°C)</t>
  </si>
  <si>
    <t>Stream Velocity, u (m/s)</t>
  </si>
  <si>
    <t>Distanc, X (m)</t>
  </si>
  <si>
    <t>T-1</t>
  </si>
  <si>
    <t>T-2</t>
  </si>
  <si>
    <t>T-3</t>
  </si>
  <si>
    <t>T-4</t>
  </si>
  <si>
    <t>T-5</t>
  </si>
  <si>
    <t>T-6</t>
  </si>
  <si>
    <t>T-7</t>
  </si>
  <si>
    <t>T-8</t>
  </si>
  <si>
    <t>B-9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</si>
  <si>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</si>
  <si>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</si>
  <si>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</si>
  <si>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</si>
  <si>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</si>
  <si>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</si>
  <si>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</si>
  <si>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</si>
  <si>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</si>
  <si>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D-19</t>
  </si>
  <si>
    <t>D-20</t>
  </si>
  <si>
    <t>D-21</t>
  </si>
  <si>
    <t>D-22</t>
  </si>
  <si>
    <t>D-23</t>
  </si>
  <si>
    <t>D-24</t>
  </si>
  <si>
    <t>D-25</t>
  </si>
  <si>
    <t>D-26</t>
  </si>
  <si>
    <t>S-27</t>
  </si>
  <si>
    <t>S-28</t>
  </si>
  <si>
    <t>S-29</t>
  </si>
  <si>
    <t>S-30</t>
  </si>
  <si>
    <t>S-31</t>
  </si>
  <si>
    <t>S-32</t>
  </si>
  <si>
    <t>S-33</t>
  </si>
  <si>
    <t>S-34</t>
  </si>
  <si>
    <t>S-35</t>
  </si>
  <si>
    <t>S-36</t>
  </si>
  <si>
    <t>S-37</t>
  </si>
  <si>
    <t>S-38</t>
  </si>
  <si>
    <r>
      <t>K</t>
    </r>
    <r>
      <rPr>
        <b/>
        <vertAlign val="subscript"/>
        <sz val="12"/>
        <rFont val="Times New Roman"/>
        <family val="1"/>
      </rPr>
      <t>d</t>
    </r>
    <r>
      <rPr>
        <b/>
        <sz val="12"/>
        <rFont val="Times New Roman"/>
        <family val="1"/>
      </rPr>
      <t xml:space="preserve"> (/day)</t>
    </r>
  </si>
  <si>
    <r>
      <t>K</t>
    </r>
    <r>
      <rPr>
        <b/>
        <vertAlign val="subscript"/>
        <sz val="12"/>
        <rFont val="Times New Roman"/>
        <family val="1"/>
      </rPr>
      <t>r</t>
    </r>
    <r>
      <rPr>
        <b/>
        <sz val="12"/>
        <rFont val="Times New Roman"/>
        <family val="1"/>
      </rPr>
      <t xml:space="preserve"> (/day)</t>
    </r>
  </si>
  <si>
    <r>
      <t>BOD</t>
    </r>
    <r>
      <rPr>
        <b/>
        <vertAlign val="subscript"/>
        <sz val="12"/>
        <rFont val="Times New Roman"/>
        <family val="1"/>
      </rPr>
      <t xml:space="preserve">5 </t>
    </r>
    <r>
      <rPr>
        <b/>
        <sz val="12"/>
        <rFont val="Times New Roman"/>
        <family val="1"/>
      </rPr>
      <t>(mg/L)</t>
    </r>
  </si>
  <si>
    <r>
      <t>Ultimate BOD, L</t>
    </r>
    <r>
      <rPr>
        <b/>
        <vertAlign val="subscript"/>
        <sz val="12"/>
        <rFont val="Times New Roman"/>
        <family val="1"/>
      </rPr>
      <t>0</t>
    </r>
    <r>
      <rPr>
        <b/>
        <sz val="12"/>
        <rFont val="Times New Roman"/>
        <family val="1"/>
      </rPr>
      <t xml:space="preserve"> (mg/L)</t>
    </r>
  </si>
  <si>
    <r>
      <t>DO</t>
    </r>
    <r>
      <rPr>
        <b/>
        <vertAlign val="subscript"/>
        <sz val="12"/>
        <rFont val="Times New Roman"/>
        <family val="1"/>
      </rPr>
      <t>sat</t>
    </r>
    <r>
      <rPr>
        <b/>
        <sz val="12"/>
        <rFont val="Times New Roman"/>
        <family val="1"/>
      </rPr>
      <t xml:space="preserve"> (mg/L)</t>
    </r>
  </si>
  <si>
    <r>
      <t>DO</t>
    </r>
    <r>
      <rPr>
        <b/>
        <vertAlign val="subscript"/>
        <sz val="12"/>
        <rFont val="Times New Roman"/>
        <family val="1"/>
      </rPr>
      <t>i</t>
    </r>
    <r>
      <rPr>
        <b/>
        <sz val="12"/>
        <rFont val="Times New Roman"/>
        <family val="1"/>
      </rPr>
      <t xml:space="preserve"> (mg/L)</t>
    </r>
  </si>
  <si>
    <r>
      <t>Initial DO Deficit, D</t>
    </r>
    <r>
      <rPr>
        <b/>
        <vertAlign val="subscript"/>
        <sz val="12"/>
        <rFont val="Times New Roman"/>
        <family val="1"/>
      </rPr>
      <t>0</t>
    </r>
  </si>
  <si>
    <r>
      <t>Critical deficit, D</t>
    </r>
    <r>
      <rPr>
        <b/>
        <vertAlign val="subscript"/>
        <sz val="12"/>
        <rFont val="Times New Roman"/>
        <family val="1"/>
      </rPr>
      <t>c</t>
    </r>
  </si>
  <si>
    <r>
      <t>Critical time, t</t>
    </r>
    <r>
      <rPr>
        <b/>
        <vertAlign val="subscript"/>
        <sz val="12"/>
        <rFont val="Times New Roman"/>
        <family val="1"/>
      </rPr>
      <t>c</t>
    </r>
  </si>
  <si>
    <r>
      <t>DO</t>
    </r>
    <r>
      <rPr>
        <b/>
        <vertAlign val="subscript"/>
        <sz val="12"/>
        <rFont val="Times New Roman"/>
        <family val="1"/>
      </rPr>
      <t>min</t>
    </r>
  </si>
  <si>
    <r>
      <t>Critical Distance, X</t>
    </r>
    <r>
      <rPr>
        <b/>
        <vertAlign val="subscript"/>
        <sz val="12"/>
        <rFont val="Times New Roman"/>
        <family val="1"/>
      </rPr>
      <t>c</t>
    </r>
    <r>
      <rPr>
        <b/>
        <sz val="12"/>
        <rFont val="Times New Roman"/>
        <family val="1"/>
      </rPr>
      <t xml:space="preserve"> (km)</t>
    </r>
  </si>
  <si>
    <t>Day Period of Four River</t>
  </si>
  <si>
    <t>e</t>
  </si>
  <si>
    <t>Trail</t>
  </si>
  <si>
    <r>
      <t>DO</t>
    </r>
    <r>
      <rPr>
        <b/>
        <vertAlign val="subscript"/>
        <sz val="11"/>
        <color theme="4"/>
        <rFont val="Times New Roman"/>
        <family val="1"/>
      </rPr>
      <t>saturation</t>
    </r>
    <r>
      <rPr>
        <b/>
        <sz val="11"/>
        <color theme="4"/>
        <rFont val="Times New Roman"/>
        <family val="1"/>
      </rPr>
      <t xml:space="preserve"> (mg/L)</t>
    </r>
  </si>
  <si>
    <t>DO (mg/L)</t>
  </si>
  <si>
    <t xml:space="preserve">Latitude </t>
  </si>
  <si>
    <t xml:space="preserve">Longitude </t>
  </si>
  <si>
    <t>Stations</t>
  </si>
  <si>
    <r>
      <t>D</t>
    </r>
    <r>
      <rPr>
        <b/>
        <vertAlign val="subscript"/>
        <sz val="11"/>
        <color theme="1"/>
        <rFont val="Times New Roman"/>
        <family val="1"/>
      </rPr>
      <t>c</t>
    </r>
  </si>
  <si>
    <r>
      <t>t</t>
    </r>
    <r>
      <rPr>
        <b/>
        <vertAlign val="subscript"/>
        <sz val="12"/>
        <color theme="1"/>
        <rFont val="Times New Roman"/>
        <family val="1"/>
      </rPr>
      <t>c</t>
    </r>
  </si>
  <si>
    <r>
      <t>K</t>
    </r>
    <r>
      <rPr>
        <b/>
        <vertAlign val="subscript"/>
        <sz val="12"/>
        <color theme="1"/>
        <rFont val="Times New Roman"/>
        <family val="1"/>
      </rPr>
      <t>d</t>
    </r>
  </si>
  <si>
    <r>
      <t>K</t>
    </r>
    <r>
      <rPr>
        <b/>
        <vertAlign val="subscript"/>
        <sz val="12"/>
        <color theme="1"/>
        <rFont val="Times New Roman"/>
        <family val="1"/>
      </rPr>
      <t>r</t>
    </r>
  </si>
  <si>
    <r>
      <t>L</t>
    </r>
    <r>
      <rPr>
        <b/>
        <vertAlign val="subscript"/>
        <sz val="12"/>
        <color theme="1"/>
        <rFont val="Times New Roman"/>
        <family val="1"/>
      </rPr>
      <t>o</t>
    </r>
  </si>
  <si>
    <r>
      <t>D</t>
    </r>
    <r>
      <rPr>
        <b/>
        <vertAlign val="subscript"/>
        <sz val="12"/>
        <color theme="1"/>
        <rFont val="Times New Roman"/>
        <family val="1"/>
      </rPr>
      <t>c</t>
    </r>
  </si>
  <si>
    <r>
      <t>DO</t>
    </r>
    <r>
      <rPr>
        <b/>
        <vertAlign val="subscript"/>
        <sz val="12"/>
        <color theme="1"/>
        <rFont val="Times New Roman"/>
        <family val="1"/>
      </rPr>
      <t>sat</t>
    </r>
  </si>
  <si>
    <r>
      <t>DO</t>
    </r>
    <r>
      <rPr>
        <b/>
        <vertAlign val="subscript"/>
        <sz val="12"/>
        <color theme="1"/>
        <rFont val="Times New Roman"/>
        <family val="1"/>
      </rPr>
      <t>min</t>
    </r>
  </si>
  <si>
    <t>Station No</t>
  </si>
  <si>
    <t>River Name</t>
  </si>
  <si>
    <t>Station Name</t>
  </si>
  <si>
    <t>Turag</t>
  </si>
  <si>
    <t>Buriganga</t>
  </si>
  <si>
    <t>Dhaleswari</t>
  </si>
  <si>
    <t>Shitalakshya</t>
  </si>
  <si>
    <t>AIUB Field</t>
  </si>
  <si>
    <t>Arabi Plastic Recycle</t>
  </si>
  <si>
    <t>Soil Packaging &amp; Trims LtD.</t>
  </si>
  <si>
    <t>Akij ready-mix concrete LTD.</t>
  </si>
  <si>
    <t>J T E G China project</t>
  </si>
  <si>
    <t>Aggregate Terminal -3</t>
  </si>
  <si>
    <t>Path builders LTD</t>
  </si>
  <si>
    <t>Akij Asphalt ( Akij Building solution LTD)</t>
  </si>
  <si>
    <t>Pias parking Nababer Bag</t>
  </si>
  <si>
    <t>Jahanabad Baitur Rahman Jame mosjid</t>
  </si>
  <si>
    <t>Dipnogor koyla godi</t>
  </si>
  <si>
    <t>Buriganga River side</t>
  </si>
  <si>
    <t>TAHA Bricks</t>
  </si>
  <si>
    <t>Unimax avonee daiper</t>
  </si>
  <si>
    <t>Ashpiya dairy &amp; goat farm</t>
  </si>
  <si>
    <t>Habib industries, Dhaka</t>
  </si>
  <si>
    <t>Chandir Ghat</t>
  </si>
  <si>
    <t>Lalkuthi Launch terminal</t>
  </si>
  <si>
    <t>Postogola Bridge ( Army Camp)</t>
  </si>
  <si>
    <t>CSMR</t>
  </si>
  <si>
    <t>Bangladesh cost guard station</t>
  </si>
  <si>
    <t>Fatullah DIT Gorur Haat</t>
  </si>
  <si>
    <t>ACI premeio plastics</t>
  </si>
  <si>
    <t>PHM Ship Building and Dock yard</t>
  </si>
  <si>
    <t>Toha Bricks Camp ground</t>
  </si>
  <si>
    <t>Dicrirchar ferry wharf</t>
  </si>
  <si>
    <t>Molla Salt (Triple Refined) Inds.Ltd Factory</t>
  </si>
  <si>
    <t>Dewan Ice &amp; Cold Storage</t>
  </si>
  <si>
    <t>Metrocem Cement Limited</t>
  </si>
  <si>
    <t>Premier Cement Mills PLC</t>
  </si>
  <si>
    <t>Thana Ghat (Feri Ghat)</t>
  </si>
  <si>
    <t xml:space="preserve">Modern Food Storage Facilities Narayanganj </t>
  </si>
  <si>
    <t>AKIJ ESSENTIALS LIMITED (FLOUR &amp; DAAL MILL)</t>
  </si>
  <si>
    <t>Sonachara Dockyard -01</t>
  </si>
  <si>
    <t xml:space="preserve">Haripur Power Limited, 360 MW Combined Cycle Power </t>
  </si>
  <si>
    <t>Nawab Abdul Malek Jute Mills Ltd.</t>
  </si>
  <si>
    <t>Sonali Paper &amp; Board Mills</t>
  </si>
  <si>
    <t>Nowapara Boat Ghat</t>
  </si>
  <si>
    <t>Recovery Time, tr</t>
  </si>
  <si>
    <t>tr                 (Day)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</si>
</sst>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b/>
      <sz val="16"/>
      <color theme="1"/>
      <name val="Times New Roman"/>
      <family val="1"/>
    </font>
    <font>
      <b/>
      <sz val="11"/>
      <color theme="4"/>
      <name val="Times New Roman"/>
      <family val="1"/>
    </font>
    <font>
      <b/>
      <vertAlign val="subscript"/>
      <sz val="11"/>
      <color theme="4"/>
      <name val="Times New Roman"/>
      <family val="1"/>
    </font>
    <font>
      <b/>
      <sz val="12"/>
      <color theme="4"/>
      <name val="Times New Roman"/>
      <family val="1"/>
    </font>
    <font>
      <b/>
      <sz val="16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mediumDashDot">
        <color indexed="64"/>
      </left>
      <right/>
      <top style="mediumDashDot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 style="mediumDashDot">
        <color indexed="64"/>
      </left>
      <right style="mediumDashed">
        <color indexed="64"/>
      </right>
      <top style="mediumDashDot">
        <color indexed="64"/>
      </top>
      <bottom/>
      <diagonal/>
    </border>
    <border>
      <left style="mediumDashDot">
        <color indexed="64"/>
      </left>
      <right style="mediumDashed">
        <color indexed="64"/>
      </right>
      <top/>
      <bottom/>
      <diagonal/>
    </border>
    <border>
      <left style="dashDot">
        <color indexed="64"/>
      </left>
      <right style="dashDot">
        <color indexed="64"/>
      </right>
      <top/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/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/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Dot">
        <color indexed="64"/>
      </left>
      <right/>
      <top style="mediumDashDot">
        <color indexed="64"/>
      </top>
      <bottom style="medium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mediumDashDot">
        <color indexed="64"/>
      </left>
      <right/>
      <top style="mediumDashDot">
        <color indexed="64"/>
      </top>
      <bottom style="mediumDashed">
        <color indexed="64"/>
      </bottom>
      <diagonal/>
    </border>
    <border>
      <left style="mediumDashDot">
        <color indexed="64"/>
      </left>
      <right/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/>
      <top/>
      <bottom style="thin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 style="mediumDashDot">
        <color indexed="64"/>
      </left>
      <right/>
      <top style="thin">
        <color indexed="64"/>
      </top>
      <bottom style="mediumDashed">
        <color indexed="64"/>
      </bottom>
      <diagonal/>
    </border>
    <border>
      <left style="mediumDashDot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DashDot">
        <color indexed="64"/>
      </left>
      <right style="mediumDashed">
        <color indexed="64"/>
      </right>
      <top style="mediumDashDot">
        <color indexed="64"/>
      </top>
      <bottom style="mediumDashDot">
        <color indexed="64"/>
      </bottom>
      <diagonal/>
    </border>
    <border>
      <left style="mediumDashDot">
        <color indexed="64"/>
      </left>
      <right style="mediumDashed">
        <color indexed="64"/>
      </right>
      <top style="mediumDashDot">
        <color indexed="64"/>
      </top>
      <bottom style="mediumDashed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5" xfId="0" applyBorder="1"/>
    <xf numFmtId="0" fontId="6" fillId="4" borderId="1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6" borderId="31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9" borderId="30" xfId="0" applyFont="1" applyFill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9" borderId="31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6" borderId="30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6" borderId="22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6" borderId="24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Turag River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[1]Sheet1!$C$5:$C$9</c:f>
              <c:numCache>
                <c:formatCode>General</c:formatCode>
                <c:ptCount val="5"/>
                <c:pt idx="0">
                  <c:v>7.9050000000000002</c:v>
                </c:pt>
                <c:pt idx="1">
                  <c:v>7.9050000000000002</c:v>
                </c:pt>
                <c:pt idx="2">
                  <c:v>7.9050000000000002</c:v>
                </c:pt>
                <c:pt idx="3">
                  <c:v>7.9050000000000002</c:v>
                </c:pt>
                <c:pt idx="4">
                  <c:v>7.9050000000000002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D0-4C48-AD03-6C1AFF1EFE0A}"/>
            </c:ext>
          </c:extLst>
        </c:ser>
        <c:ser>
          <c:idx val="0"/>
          <c:order val="1"/>
          <c:tx>
            <c:strRef>
              <c:f>[1]Sheet1!$A$5</c:f>
              <c:strCache>
                <c:ptCount val="1"/>
                <c:pt idx="0">
                  <c:v>T-1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[1]Sheet1!$D$5:$D$9</c:f>
              <c:numCache>
                <c:formatCode>General</c:formatCode>
                <c:ptCount val="5"/>
                <c:pt idx="0">
                  <c:v>0</c:v>
                </c:pt>
                <c:pt idx="1">
                  <c:v>0.51</c:v>
                </c:pt>
                <c:pt idx="2">
                  <c:v>3</c:v>
                </c:pt>
                <c:pt idx="3">
                  <c:v>6</c:v>
                </c:pt>
                <c:pt idx="4">
                  <c:v>26</c:v>
                </c:pt>
              </c:numCache>
            </c:numRef>
          </c:xVal>
          <c:yVal>
            <c:numRef>
              <c:f>[1]Sheet1!$E$5:$E$9</c:f>
              <c:numCache>
                <c:formatCode>General</c:formatCode>
                <c:ptCount val="5"/>
                <c:pt idx="0">
                  <c:v>6.98</c:v>
                </c:pt>
                <c:pt idx="1">
                  <c:v>0.7</c:v>
                </c:pt>
                <c:pt idx="2">
                  <c:v>5.1050000000000004</c:v>
                </c:pt>
                <c:pt idx="3">
                  <c:v>7.0060000000000002</c:v>
                </c:pt>
                <c:pt idx="4">
                  <c:v>7.9039999999999999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D0-4C48-AD03-6C1AFF1EF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0900690353495155"/>
          <c:y val="0.90763999851949662"/>
          <c:w val="0.51513442687795896"/>
          <c:h val="6.3702342592077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82674131743465"/>
          <c:y val="0.12531237620942789"/>
          <c:w val="0.83257549117039997"/>
          <c:h val="0.6680031229469956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[1]Sheet1!$C$10:$C$14</c:f>
              <c:numCache>
                <c:formatCode>General</c:formatCode>
                <c:ptCount val="5"/>
                <c:pt idx="0">
                  <c:v>8.0950000000000006</c:v>
                </c:pt>
                <c:pt idx="1">
                  <c:v>8.0950000000000006</c:v>
                </c:pt>
                <c:pt idx="2">
                  <c:v>8.0950000000000006</c:v>
                </c:pt>
                <c:pt idx="3">
                  <c:v>8.0950000000000006</c:v>
                </c:pt>
                <c:pt idx="4">
                  <c:v>8.0950000000000006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7-4CD2-B60E-FEB8E5D602F5}"/>
            </c:ext>
          </c:extLst>
        </c:ser>
        <c:ser>
          <c:idx val="0"/>
          <c:order val="1"/>
          <c:tx>
            <c:strRef>
              <c:f>[1]Sheet1!$A$10</c:f>
              <c:strCache>
                <c:ptCount val="1"/>
                <c:pt idx="0">
                  <c:v>T-2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[1]Sheet1!$D$10:$D$14</c:f>
              <c:numCache>
                <c:formatCode>General</c:formatCode>
                <c:ptCount val="5"/>
                <c:pt idx="0">
                  <c:v>0</c:v>
                </c:pt>
                <c:pt idx="1">
                  <c:v>0.58899999999999997</c:v>
                </c:pt>
                <c:pt idx="2">
                  <c:v>3</c:v>
                </c:pt>
                <c:pt idx="3">
                  <c:v>5</c:v>
                </c:pt>
                <c:pt idx="4">
                  <c:v>28</c:v>
                </c:pt>
              </c:numCache>
            </c:numRef>
          </c:xVal>
          <c:yVal>
            <c:numRef>
              <c:f>[1]Sheet1!$E$10:$E$14</c:f>
              <c:numCache>
                <c:formatCode>General</c:formatCode>
                <c:ptCount val="5"/>
                <c:pt idx="0">
                  <c:v>6.7050000000000001</c:v>
                </c:pt>
                <c:pt idx="1">
                  <c:v>1.1419999999999999</c:v>
                </c:pt>
                <c:pt idx="2">
                  <c:v>5.0970000000000004</c:v>
                </c:pt>
                <c:pt idx="3">
                  <c:v>6.6029999999999998</c:v>
                </c:pt>
                <c:pt idx="4">
                  <c:v>8.0945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67-4CD2-B60E-FEB8E5D60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716224"/>
        <c:axId val="2068717888"/>
      </c:scatterChart>
      <c:valAx>
        <c:axId val="206871622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8717888"/>
        <c:crosses val="autoZero"/>
        <c:crossBetween val="midCat"/>
        <c:majorUnit val="5"/>
      </c:valAx>
      <c:valAx>
        <c:axId val="20687178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871622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[1]Sheet1!$C$15:$C$19</c:f>
              <c:numCache>
                <c:formatCode>General</c:formatCode>
                <c:ptCount val="5"/>
                <c:pt idx="0">
                  <c:v>7.8940000000000001</c:v>
                </c:pt>
                <c:pt idx="1">
                  <c:v>7.8940000000000001</c:v>
                </c:pt>
                <c:pt idx="2">
                  <c:v>7.8940000000000001</c:v>
                </c:pt>
                <c:pt idx="3">
                  <c:v>7.8940000000000001</c:v>
                </c:pt>
                <c:pt idx="4">
                  <c:v>7.8940000000000001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EB-4C37-9BE2-03B9738D4F91}"/>
            </c:ext>
          </c:extLst>
        </c:ser>
        <c:ser>
          <c:idx val="0"/>
          <c:order val="1"/>
          <c:tx>
            <c:strRef>
              <c:f>[1]Sheet1!$A$15</c:f>
              <c:strCache>
                <c:ptCount val="1"/>
                <c:pt idx="0">
                  <c:v>T-3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[1]Sheet1!$D$15:$D$19</c:f>
              <c:numCache>
                <c:formatCode>General</c:formatCode>
                <c:ptCount val="5"/>
                <c:pt idx="0">
                  <c:v>0</c:v>
                </c:pt>
                <c:pt idx="1">
                  <c:v>0.36399999999999999</c:v>
                </c:pt>
                <c:pt idx="2">
                  <c:v>3</c:v>
                </c:pt>
                <c:pt idx="3">
                  <c:v>7</c:v>
                </c:pt>
                <c:pt idx="4">
                  <c:v>26</c:v>
                </c:pt>
              </c:numCache>
            </c:numRef>
          </c:xVal>
          <c:yVal>
            <c:numRef>
              <c:f>[1]Sheet1!$E$15:$E$19</c:f>
              <c:numCache>
                <c:formatCode>General</c:formatCode>
                <c:ptCount val="5"/>
                <c:pt idx="0">
                  <c:v>6.43</c:v>
                </c:pt>
                <c:pt idx="1">
                  <c:v>1.3640000000000001</c:v>
                </c:pt>
                <c:pt idx="2">
                  <c:v>5.5019999999999998</c:v>
                </c:pt>
                <c:pt idx="3">
                  <c:v>7.3730000000000002</c:v>
                </c:pt>
                <c:pt idx="4">
                  <c:v>7.8940000000000001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EB-4C37-9BE2-03B9738D4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1513442687795896"/>
          <c:h val="6.3702342592077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paperSize="8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[1]Sheet1!$C$20:$C$24</c:f>
              <c:numCache>
                <c:formatCode>General</c:formatCode>
                <c:ptCount val="5"/>
                <c:pt idx="0">
                  <c:v>7.8840000000000003</c:v>
                </c:pt>
                <c:pt idx="1">
                  <c:v>7.8840000000000003</c:v>
                </c:pt>
                <c:pt idx="2">
                  <c:v>7.8840000000000003</c:v>
                </c:pt>
                <c:pt idx="3">
                  <c:v>7.8840000000000003</c:v>
                </c:pt>
                <c:pt idx="4">
                  <c:v>7.8840000000000003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E6-4758-A1D5-2858E9D879BF}"/>
            </c:ext>
          </c:extLst>
        </c:ser>
        <c:ser>
          <c:idx val="0"/>
          <c:order val="1"/>
          <c:tx>
            <c:strRef>
              <c:f>[1]Sheet1!$A$20</c:f>
              <c:strCache>
                <c:ptCount val="1"/>
                <c:pt idx="0">
                  <c:v>T-4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[1]Sheet1!$D$20:$D$24</c:f>
              <c:numCache>
                <c:formatCode>General</c:formatCode>
                <c:ptCount val="5"/>
                <c:pt idx="0">
                  <c:v>0</c:v>
                </c:pt>
                <c:pt idx="1">
                  <c:v>0.32700000000000001</c:v>
                </c:pt>
                <c:pt idx="2">
                  <c:v>3.1</c:v>
                </c:pt>
                <c:pt idx="3">
                  <c:v>6.5</c:v>
                </c:pt>
                <c:pt idx="4">
                  <c:v>26</c:v>
                </c:pt>
              </c:numCache>
            </c:numRef>
          </c:xVal>
          <c:yVal>
            <c:numRef>
              <c:f>[1]Sheet1!$E$20:$E$24</c:f>
              <c:numCache>
                <c:formatCode>General</c:formatCode>
                <c:ptCount val="5"/>
                <c:pt idx="0">
                  <c:v>6.274</c:v>
                </c:pt>
                <c:pt idx="1">
                  <c:v>1.5349999999999999</c:v>
                </c:pt>
                <c:pt idx="2">
                  <c:v>5.6849999999999996</c:v>
                </c:pt>
                <c:pt idx="3">
                  <c:v>7.2859999999999996</c:v>
                </c:pt>
                <c:pt idx="4">
                  <c:v>7.8840000000000003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E6-4758-A1D5-2858E9D87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5312057852538909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[1]Sheet1!$C$25:$C$29</c:f>
              <c:numCache>
                <c:formatCode>General</c:formatCode>
                <c:ptCount val="5"/>
                <c:pt idx="0">
                  <c:v>7.9050000000000002</c:v>
                </c:pt>
                <c:pt idx="1">
                  <c:v>7.9050000000000002</c:v>
                </c:pt>
                <c:pt idx="2">
                  <c:v>7.9050000000000002</c:v>
                </c:pt>
                <c:pt idx="3">
                  <c:v>7.9050000000000002</c:v>
                </c:pt>
                <c:pt idx="4">
                  <c:v>7.9050000000000002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68-4E39-A5E3-68CD3DD69175}"/>
            </c:ext>
          </c:extLst>
        </c:ser>
        <c:ser>
          <c:idx val="0"/>
          <c:order val="1"/>
          <c:tx>
            <c:strRef>
              <c:f>[1]Sheet1!$A$25</c:f>
              <c:strCache>
                <c:ptCount val="1"/>
                <c:pt idx="0">
                  <c:v>T-5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[1]Sheet1!$D$25:$D$29</c:f>
              <c:numCache>
                <c:formatCode>General</c:formatCode>
                <c:ptCount val="5"/>
                <c:pt idx="0">
                  <c:v>0</c:v>
                </c:pt>
                <c:pt idx="1">
                  <c:v>0.18</c:v>
                </c:pt>
                <c:pt idx="2">
                  <c:v>2</c:v>
                </c:pt>
                <c:pt idx="3">
                  <c:v>5</c:v>
                </c:pt>
                <c:pt idx="4">
                  <c:v>27</c:v>
                </c:pt>
              </c:numCache>
            </c:numRef>
          </c:xVal>
          <c:yVal>
            <c:numRef>
              <c:f>[1]Sheet1!$E$25:$E$29</c:f>
              <c:numCache>
                <c:formatCode>General</c:formatCode>
                <c:ptCount val="5"/>
                <c:pt idx="0">
                  <c:v>6.3739999999999997</c:v>
                </c:pt>
                <c:pt idx="1">
                  <c:v>1.508</c:v>
                </c:pt>
                <c:pt idx="2">
                  <c:v>4.6970000000000001</c:v>
                </c:pt>
                <c:pt idx="3">
                  <c:v>6.8760000000000003</c:v>
                </c:pt>
                <c:pt idx="4">
                  <c:v>7.9050000000000002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68-4E39-A5E3-68CD3DD6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5181932245922205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[1]Sheet1!$C$30:$C$34</c:f>
              <c:numCache>
                <c:formatCode>General</c:formatCode>
                <c:ptCount val="5"/>
                <c:pt idx="0">
                  <c:v>7.9359999999999999</c:v>
                </c:pt>
                <c:pt idx="1">
                  <c:v>7.9359999999999999</c:v>
                </c:pt>
                <c:pt idx="2">
                  <c:v>7.9359999999999999</c:v>
                </c:pt>
                <c:pt idx="3">
                  <c:v>7.9359999999999999</c:v>
                </c:pt>
                <c:pt idx="4">
                  <c:v>7.9359999999999999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8F-488D-8A35-16CEC7E8165F}"/>
            </c:ext>
          </c:extLst>
        </c:ser>
        <c:ser>
          <c:idx val="0"/>
          <c:order val="1"/>
          <c:tx>
            <c:strRef>
              <c:f>[1]Sheet1!$A$30</c:f>
              <c:strCache>
                <c:ptCount val="1"/>
                <c:pt idx="0">
                  <c:v>T-6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[1]Sheet1!$D$30:$D$34</c:f>
              <c:numCache>
                <c:formatCode>General</c:formatCode>
                <c:ptCount val="5"/>
                <c:pt idx="0">
                  <c:v>0</c:v>
                </c:pt>
                <c:pt idx="1">
                  <c:v>0.33500000000000002</c:v>
                </c:pt>
                <c:pt idx="2">
                  <c:v>3</c:v>
                </c:pt>
                <c:pt idx="3">
                  <c:v>5</c:v>
                </c:pt>
                <c:pt idx="4">
                  <c:v>26</c:v>
                </c:pt>
              </c:numCache>
            </c:numRef>
          </c:xVal>
          <c:yVal>
            <c:numRef>
              <c:f>[1]Sheet1!$E$30:$E$34</c:f>
              <c:numCache>
                <c:formatCode>General</c:formatCode>
                <c:ptCount val="5"/>
                <c:pt idx="0">
                  <c:v>6.2949999999999999</c:v>
                </c:pt>
                <c:pt idx="1">
                  <c:v>1.5629999999999999</c:v>
                </c:pt>
                <c:pt idx="2">
                  <c:v>5.5839999999999996</c:v>
                </c:pt>
                <c:pt idx="3">
                  <c:v>6.8230000000000004</c:v>
                </c:pt>
                <c:pt idx="4">
                  <c:v>7.9359999999999999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8F-488D-8A35-16CEC7E81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5233908948194665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[1]Sheet1!$C$35:$C$39</c:f>
              <c:numCache>
                <c:formatCode>General</c:formatCode>
                <c:ptCount val="5"/>
                <c:pt idx="0">
                  <c:v>8.0299999999999994</c:v>
                </c:pt>
                <c:pt idx="1">
                  <c:v>8.0299999999999994</c:v>
                </c:pt>
                <c:pt idx="2">
                  <c:v>8.0299999999999994</c:v>
                </c:pt>
                <c:pt idx="3">
                  <c:v>8.0299999999999994</c:v>
                </c:pt>
                <c:pt idx="4">
                  <c:v>8.0299999999999994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24-4E2B-A338-9538611AA19E}"/>
            </c:ext>
          </c:extLst>
        </c:ser>
        <c:ser>
          <c:idx val="0"/>
          <c:order val="1"/>
          <c:tx>
            <c:strRef>
              <c:f>[1]Sheet1!$A$35</c:f>
              <c:strCache>
                <c:ptCount val="1"/>
                <c:pt idx="0">
                  <c:v>T-7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[1]Sheet1!$D$35:$D$39</c:f>
              <c:numCache>
                <c:formatCode>General</c:formatCode>
                <c:ptCount val="5"/>
                <c:pt idx="0">
                  <c:v>0</c:v>
                </c:pt>
                <c:pt idx="1">
                  <c:v>0.32700000000000001</c:v>
                </c:pt>
                <c:pt idx="2">
                  <c:v>2</c:v>
                </c:pt>
                <c:pt idx="3">
                  <c:v>4.5</c:v>
                </c:pt>
                <c:pt idx="4">
                  <c:v>21</c:v>
                </c:pt>
              </c:numCache>
            </c:numRef>
          </c:xVal>
          <c:yVal>
            <c:numRef>
              <c:f>[1]Sheet1!$E$35:$E$39</c:f>
              <c:numCache>
                <c:formatCode>General</c:formatCode>
                <c:ptCount val="5"/>
                <c:pt idx="0">
                  <c:v>7.13</c:v>
                </c:pt>
                <c:pt idx="1">
                  <c:v>0.82199999999999995</c:v>
                </c:pt>
                <c:pt idx="2">
                  <c:v>4.0730000000000004</c:v>
                </c:pt>
                <c:pt idx="3">
                  <c:v>6.4160000000000004</c:v>
                </c:pt>
                <c:pt idx="4">
                  <c:v>8.0299999999999994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24-4E2B-A338-9538611A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5312057852538909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[1]Sheet1!$C$40:$C$44</c:f>
              <c:numCache>
                <c:formatCode>General</c:formatCode>
                <c:ptCount val="5"/>
                <c:pt idx="0">
                  <c:v>7.8739999999999997</c:v>
                </c:pt>
                <c:pt idx="1">
                  <c:v>7.8739999999999997</c:v>
                </c:pt>
                <c:pt idx="2">
                  <c:v>7.8739999999999997</c:v>
                </c:pt>
                <c:pt idx="3">
                  <c:v>7.8739999999999997</c:v>
                </c:pt>
                <c:pt idx="4">
                  <c:v>7.8739999999999997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62-4F2A-8C9B-7563F5CDD139}"/>
            </c:ext>
          </c:extLst>
        </c:ser>
        <c:ser>
          <c:idx val="0"/>
          <c:order val="1"/>
          <c:tx>
            <c:strRef>
              <c:f>[1]Sheet1!$A$40</c:f>
              <c:strCache>
                <c:ptCount val="1"/>
                <c:pt idx="0">
                  <c:v>T-8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[1]Sheet1!$D$40:$D$44</c:f>
              <c:numCache>
                <c:formatCode>General</c:formatCode>
                <c:ptCount val="5"/>
                <c:pt idx="0">
                  <c:v>0</c:v>
                </c:pt>
                <c:pt idx="1">
                  <c:v>-2.1000000000000001E-2</c:v>
                </c:pt>
                <c:pt idx="2">
                  <c:v>2.5</c:v>
                </c:pt>
                <c:pt idx="3">
                  <c:v>5</c:v>
                </c:pt>
                <c:pt idx="4">
                  <c:v>25</c:v>
                </c:pt>
              </c:numCache>
            </c:numRef>
          </c:xVal>
          <c:yVal>
            <c:numRef>
              <c:f>[1]Sheet1!$E$40:$E$44</c:f>
              <c:numCache>
                <c:formatCode>General</c:formatCode>
                <c:ptCount val="5"/>
                <c:pt idx="0">
                  <c:v>6.1639999999999997</c:v>
                </c:pt>
                <c:pt idx="1">
                  <c:v>1.7090000000000001</c:v>
                </c:pt>
                <c:pt idx="2">
                  <c:v>5.5380000000000003</c:v>
                </c:pt>
                <c:pt idx="3">
                  <c:v>6.9820000000000002</c:v>
                </c:pt>
                <c:pt idx="4">
                  <c:v>7.8739999999999997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62-4F2A-8C9B-7563F5CDD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5181932245922205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[1]Sheet1!$C$45:$C$49</c:f>
              <c:numCache>
                <c:formatCode>General</c:formatCode>
                <c:ptCount val="5"/>
                <c:pt idx="0">
                  <c:v>7.8239999999999998</c:v>
                </c:pt>
                <c:pt idx="1">
                  <c:v>7.8239999999999998</c:v>
                </c:pt>
                <c:pt idx="2">
                  <c:v>7.8239999999999998</c:v>
                </c:pt>
                <c:pt idx="3">
                  <c:v>7.8239999999999998</c:v>
                </c:pt>
                <c:pt idx="4">
                  <c:v>7.8239999999999998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AC-491B-AD28-E43C23AE80DE}"/>
            </c:ext>
          </c:extLst>
        </c:ser>
        <c:ser>
          <c:idx val="0"/>
          <c:order val="1"/>
          <c:tx>
            <c:strRef>
              <c:f>[1]Sheet1!$A$45</c:f>
              <c:strCache>
                <c:ptCount val="1"/>
                <c:pt idx="0">
                  <c:v>B-9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[1]Sheet1!$D$45:$D$49</c:f>
              <c:numCache>
                <c:formatCode>General</c:formatCode>
                <c:ptCount val="5"/>
                <c:pt idx="0">
                  <c:v>0</c:v>
                </c:pt>
                <c:pt idx="1">
                  <c:v>0.75800000000000001</c:v>
                </c:pt>
                <c:pt idx="2">
                  <c:v>3</c:v>
                </c:pt>
                <c:pt idx="3">
                  <c:v>6</c:v>
                </c:pt>
                <c:pt idx="4">
                  <c:v>26</c:v>
                </c:pt>
              </c:numCache>
            </c:numRef>
          </c:xVal>
          <c:yVal>
            <c:numRef>
              <c:f>[1]Sheet1!$E$45:$E$49</c:f>
              <c:numCache>
                <c:formatCode>General</c:formatCode>
                <c:ptCount val="5"/>
                <c:pt idx="0">
                  <c:v>7.1139999999999999</c:v>
                </c:pt>
                <c:pt idx="1">
                  <c:v>0.126</c:v>
                </c:pt>
                <c:pt idx="2">
                  <c:v>4.6390000000000002</c:v>
                </c:pt>
                <c:pt idx="3">
                  <c:v>6.8470000000000004</c:v>
                </c:pt>
                <c:pt idx="4">
                  <c:v>7.8239999999999998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AC-491B-AD28-E43C23AE8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5233908948194665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[1]Sheet1!$C$50:$C$54</c:f>
              <c:numCache>
                <c:formatCode>General</c:formatCode>
                <c:ptCount val="5"/>
                <c:pt idx="0">
                  <c:v>7.915</c:v>
                </c:pt>
                <c:pt idx="1">
                  <c:v>7.915</c:v>
                </c:pt>
                <c:pt idx="2">
                  <c:v>7.915</c:v>
                </c:pt>
                <c:pt idx="3">
                  <c:v>7.915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2A-4478-9787-58C8D6B7180B}"/>
            </c:ext>
          </c:extLst>
        </c:ser>
        <c:ser>
          <c:idx val="0"/>
          <c:order val="1"/>
          <c:tx>
            <c:strRef>
              <c:f>[1]Sheet1!$A$50</c:f>
              <c:strCache>
                <c:ptCount val="1"/>
                <c:pt idx="0">
                  <c:v>B-10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[1]Sheet1!$D$50:$D$54</c:f>
              <c:numCache>
                <c:formatCode>General</c:formatCode>
                <c:ptCount val="5"/>
                <c:pt idx="0">
                  <c:v>0</c:v>
                </c:pt>
                <c:pt idx="1">
                  <c:v>0.71699999999999997</c:v>
                </c:pt>
                <c:pt idx="2">
                  <c:v>3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[1]Sheet1!$E$50:$E$54</c:f>
              <c:numCache>
                <c:formatCode>General</c:formatCode>
                <c:ptCount val="5"/>
                <c:pt idx="0">
                  <c:v>7.3150000000000004</c:v>
                </c:pt>
                <c:pt idx="1">
                  <c:v>0.112</c:v>
                </c:pt>
                <c:pt idx="2">
                  <c:v>4.6219999999999999</c:v>
                </c:pt>
                <c:pt idx="3">
                  <c:v>6.8550000000000004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2A-4478-9787-58C8D6B71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98553686527276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[1]Sheet1!$C$55:$C$59</c:f>
              <c:numCache>
                <c:formatCode>General</c:formatCode>
                <c:ptCount val="5"/>
                <c:pt idx="0">
                  <c:v>7.915</c:v>
                </c:pt>
                <c:pt idx="1">
                  <c:v>7.915</c:v>
                </c:pt>
                <c:pt idx="2">
                  <c:v>7.915</c:v>
                </c:pt>
                <c:pt idx="3">
                  <c:v>7.915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F9-4914-90D0-83C8A7EFF6FF}"/>
            </c:ext>
          </c:extLst>
        </c:ser>
        <c:ser>
          <c:idx val="0"/>
          <c:order val="1"/>
          <c:tx>
            <c:strRef>
              <c:f>[1]Sheet1!$A$55</c:f>
              <c:strCache>
                <c:ptCount val="1"/>
                <c:pt idx="0">
                  <c:v>B-11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[1]Sheet1!$D$55:$D$59</c:f>
              <c:numCache>
                <c:formatCode>General</c:formatCode>
                <c:ptCount val="5"/>
                <c:pt idx="0">
                  <c:v>0</c:v>
                </c:pt>
                <c:pt idx="1">
                  <c:v>0.59199999999999997</c:v>
                </c:pt>
                <c:pt idx="2">
                  <c:v>3</c:v>
                </c:pt>
                <c:pt idx="3">
                  <c:v>7</c:v>
                </c:pt>
                <c:pt idx="4">
                  <c:v>26</c:v>
                </c:pt>
              </c:numCache>
            </c:numRef>
          </c:xVal>
          <c:yVal>
            <c:numRef>
              <c:f>[1]Sheet1!$E$55:$E$59</c:f>
              <c:numCache>
                <c:formatCode>General</c:formatCode>
                <c:ptCount val="5"/>
                <c:pt idx="0">
                  <c:v>6.7549999999999999</c:v>
                </c:pt>
                <c:pt idx="1">
                  <c:v>0.871</c:v>
                </c:pt>
                <c:pt idx="2">
                  <c:v>5.0789999999999997</c:v>
                </c:pt>
                <c:pt idx="3">
                  <c:v>7.2889999999999997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F9-4914-90D0-83C8A7EFF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063989962358841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[1]Sheet1!$C$60:$C$64</c:f>
              <c:numCache>
                <c:formatCode>General</c:formatCode>
                <c:ptCount val="5"/>
                <c:pt idx="0">
                  <c:v>7.9249999999999998</c:v>
                </c:pt>
                <c:pt idx="1">
                  <c:v>7.9249999999999998</c:v>
                </c:pt>
                <c:pt idx="2">
                  <c:v>7.9249999999999998</c:v>
                </c:pt>
                <c:pt idx="3">
                  <c:v>7.9249999999999998</c:v>
                </c:pt>
                <c:pt idx="4">
                  <c:v>7.9249999999999998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8-4457-8487-8529889C8E0D}"/>
            </c:ext>
          </c:extLst>
        </c:ser>
        <c:ser>
          <c:idx val="0"/>
          <c:order val="1"/>
          <c:tx>
            <c:strRef>
              <c:f>[1]Sheet1!$A$60</c:f>
              <c:strCache>
                <c:ptCount val="1"/>
                <c:pt idx="0">
                  <c:v>B-12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[1]Sheet1!$D$60:$D$64</c:f>
              <c:numCache>
                <c:formatCode>General</c:formatCode>
                <c:ptCount val="5"/>
                <c:pt idx="0">
                  <c:v>0</c:v>
                </c:pt>
                <c:pt idx="1">
                  <c:v>0.56499999999999995</c:v>
                </c:pt>
                <c:pt idx="2">
                  <c:v>4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[1]Sheet1!$E$60:$E$64</c:f>
              <c:numCache>
                <c:formatCode>General</c:formatCode>
                <c:ptCount val="5"/>
                <c:pt idx="0">
                  <c:v>6.875</c:v>
                </c:pt>
                <c:pt idx="1">
                  <c:v>0.78700000000000003</c:v>
                </c:pt>
                <c:pt idx="2">
                  <c:v>5.9640000000000004</c:v>
                </c:pt>
                <c:pt idx="3">
                  <c:v>7</c:v>
                </c:pt>
                <c:pt idx="4">
                  <c:v>7.9249999999999998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D8-4457-8487-8529889C8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84250732394715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[1]Sheet1!$C$65:$C$69</c:f>
              <c:numCache>
                <c:formatCode>General</c:formatCode>
                <c:ptCount val="5"/>
                <c:pt idx="0">
                  <c:v>7.9249999999999998</c:v>
                </c:pt>
                <c:pt idx="1">
                  <c:v>7.9249999999999998</c:v>
                </c:pt>
                <c:pt idx="2">
                  <c:v>7.9249999999999998</c:v>
                </c:pt>
                <c:pt idx="3">
                  <c:v>7.9249999999999998</c:v>
                </c:pt>
                <c:pt idx="4">
                  <c:v>7.9249999999999998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DC-40D5-A4E4-C387B61B311E}"/>
            </c:ext>
          </c:extLst>
        </c:ser>
        <c:ser>
          <c:idx val="0"/>
          <c:order val="1"/>
          <c:tx>
            <c:strRef>
              <c:f>[1]Sheet1!$A$65</c:f>
              <c:strCache>
                <c:ptCount val="1"/>
                <c:pt idx="0">
                  <c:v>B-13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[1]Sheet1!$D$65:$D$69</c:f>
              <c:numCache>
                <c:formatCode>General</c:formatCode>
                <c:ptCount val="5"/>
                <c:pt idx="0">
                  <c:v>0</c:v>
                </c:pt>
                <c:pt idx="1">
                  <c:v>0.54300000000000004</c:v>
                </c:pt>
                <c:pt idx="2">
                  <c:v>2.5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[1]Sheet1!$E$65:$E$69</c:f>
              <c:numCache>
                <c:formatCode>General</c:formatCode>
                <c:ptCount val="5"/>
                <c:pt idx="0">
                  <c:v>7.03</c:v>
                </c:pt>
                <c:pt idx="1">
                  <c:v>0.64400000000000002</c:v>
                </c:pt>
                <c:pt idx="2">
                  <c:v>4.4379999999999997</c:v>
                </c:pt>
                <c:pt idx="3">
                  <c:v>6.9889999999999999</c:v>
                </c:pt>
                <c:pt idx="4">
                  <c:v>7.9249999999999998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DC-40D5-A4E4-C387B61B3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98553686527276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[1]Sheet1!$C$70:$C$74</c:f>
              <c:numCache>
                <c:formatCode>General</c:formatCode>
                <c:ptCount val="5"/>
                <c:pt idx="0">
                  <c:v>7.915</c:v>
                </c:pt>
                <c:pt idx="1">
                  <c:v>7.915</c:v>
                </c:pt>
                <c:pt idx="2">
                  <c:v>7.915</c:v>
                </c:pt>
                <c:pt idx="3">
                  <c:v>7.915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90-4B35-BFF4-D6A3B3D786B0}"/>
            </c:ext>
          </c:extLst>
        </c:ser>
        <c:ser>
          <c:idx val="0"/>
          <c:order val="1"/>
          <c:tx>
            <c:strRef>
              <c:f>[1]Sheet1!$A$70</c:f>
              <c:strCache>
                <c:ptCount val="1"/>
                <c:pt idx="0">
                  <c:v>B-14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[1]Sheet1!$D$70:$D$74</c:f>
              <c:numCache>
                <c:formatCode>General</c:formatCode>
                <c:ptCount val="5"/>
                <c:pt idx="0">
                  <c:v>0</c:v>
                </c:pt>
                <c:pt idx="1">
                  <c:v>0.58899999999999997</c:v>
                </c:pt>
                <c:pt idx="2">
                  <c:v>4.5</c:v>
                </c:pt>
                <c:pt idx="3">
                  <c:v>8</c:v>
                </c:pt>
                <c:pt idx="4">
                  <c:v>29</c:v>
                </c:pt>
              </c:numCache>
            </c:numRef>
          </c:xVal>
          <c:yVal>
            <c:numRef>
              <c:f>[1]Sheet1!$E$70:$E$74</c:f>
              <c:numCache>
                <c:formatCode>General</c:formatCode>
                <c:ptCount val="5"/>
                <c:pt idx="0">
                  <c:v>6.7649999999999997</c:v>
                </c:pt>
                <c:pt idx="1">
                  <c:v>0.86299999999999999</c:v>
                </c:pt>
                <c:pt idx="2">
                  <c:v>4.0839999999999996</c:v>
                </c:pt>
                <c:pt idx="3">
                  <c:v>6.8940000000000001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90-4B35-BFF4-D6A3B3D78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063989962358841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[1]Sheet1!$C$75:$C$79</c:f>
              <c:numCache>
                <c:formatCode>General</c:formatCode>
                <c:ptCount val="5"/>
                <c:pt idx="0">
                  <c:v>7.9459999999999997</c:v>
                </c:pt>
                <c:pt idx="1">
                  <c:v>7.9459999999999997</c:v>
                </c:pt>
                <c:pt idx="2">
                  <c:v>7.9459999999999997</c:v>
                </c:pt>
                <c:pt idx="3">
                  <c:v>7.9459999999999997</c:v>
                </c:pt>
                <c:pt idx="4">
                  <c:v>7.9459999999999997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98-45D1-93E3-147A04D85C2C}"/>
            </c:ext>
          </c:extLst>
        </c:ser>
        <c:ser>
          <c:idx val="0"/>
          <c:order val="1"/>
          <c:tx>
            <c:strRef>
              <c:f>[1]Sheet1!$A$75</c:f>
              <c:strCache>
                <c:ptCount val="1"/>
                <c:pt idx="0">
                  <c:v>B-15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[1]Sheet1!$D$75:$D$79</c:f>
              <c:numCache>
                <c:formatCode>General</c:formatCode>
                <c:ptCount val="5"/>
                <c:pt idx="0">
                  <c:v>0</c:v>
                </c:pt>
                <c:pt idx="1">
                  <c:v>-0.16500000000000001</c:v>
                </c:pt>
                <c:pt idx="2">
                  <c:v>2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[1]Sheet1!$E$75:$E$79</c:f>
              <c:numCache>
                <c:formatCode>General</c:formatCode>
                <c:ptCount val="5"/>
                <c:pt idx="0">
                  <c:v>6.976</c:v>
                </c:pt>
                <c:pt idx="1">
                  <c:v>0.95199999999999996</c:v>
                </c:pt>
                <c:pt idx="2">
                  <c:v>4.8230000000000004</c:v>
                </c:pt>
                <c:pt idx="3">
                  <c:v>7.2430000000000003</c:v>
                </c:pt>
                <c:pt idx="4">
                  <c:v>7.9459999999999997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98-45D1-93E3-147A04D85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3208890097529016"/>
          <c:h val="6.3702342592077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[1]Sheet1!$C$80:$C$84</c:f>
              <c:numCache>
                <c:formatCode>General</c:formatCode>
                <c:ptCount val="5"/>
                <c:pt idx="0">
                  <c:v>7.8639999999999999</c:v>
                </c:pt>
                <c:pt idx="1">
                  <c:v>7.8639999999999999</c:v>
                </c:pt>
                <c:pt idx="2">
                  <c:v>7.8639999999999999</c:v>
                </c:pt>
                <c:pt idx="3">
                  <c:v>7.8639999999999999</c:v>
                </c:pt>
                <c:pt idx="4">
                  <c:v>7.8639999999999999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7-4033-90B8-8CFD89D48E24}"/>
            </c:ext>
          </c:extLst>
        </c:ser>
        <c:ser>
          <c:idx val="0"/>
          <c:order val="1"/>
          <c:tx>
            <c:strRef>
              <c:f>[1]Sheet1!$A$80</c:f>
              <c:strCache>
                <c:ptCount val="1"/>
                <c:pt idx="0">
                  <c:v>B-16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[1]Sheet1!$D$80:$D$84</c:f>
              <c:numCache>
                <c:formatCode>General</c:formatCode>
                <c:ptCount val="5"/>
                <c:pt idx="0">
                  <c:v>0</c:v>
                </c:pt>
                <c:pt idx="1">
                  <c:v>0.79</c:v>
                </c:pt>
                <c:pt idx="2">
                  <c:v>3</c:v>
                </c:pt>
                <c:pt idx="3">
                  <c:v>7</c:v>
                </c:pt>
                <c:pt idx="4">
                  <c:v>26</c:v>
                </c:pt>
              </c:numCache>
            </c:numRef>
          </c:xVal>
          <c:yVal>
            <c:numRef>
              <c:f>[1]Sheet1!$E$80:$E$84</c:f>
              <c:numCache>
                <c:formatCode>General</c:formatCode>
                <c:ptCount val="5"/>
                <c:pt idx="0">
                  <c:v>7.0439999999999996</c:v>
                </c:pt>
                <c:pt idx="1">
                  <c:v>0.20300000000000001</c:v>
                </c:pt>
                <c:pt idx="2">
                  <c:v>4.6020000000000003</c:v>
                </c:pt>
                <c:pt idx="3">
                  <c:v>7.1669999999999998</c:v>
                </c:pt>
                <c:pt idx="4">
                  <c:v>7.8639999999999999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7-4033-90B8-8CFD89D48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[1]Sheet1!$C$85:$C$89</c:f>
              <c:numCache>
                <c:formatCode>General</c:formatCode>
                <c:ptCount val="5"/>
                <c:pt idx="0">
                  <c:v>7.9459999999999997</c:v>
                </c:pt>
                <c:pt idx="1">
                  <c:v>7.9459999999999997</c:v>
                </c:pt>
                <c:pt idx="2">
                  <c:v>7.9459999999999997</c:v>
                </c:pt>
                <c:pt idx="3">
                  <c:v>7.9459999999999997</c:v>
                </c:pt>
                <c:pt idx="4">
                  <c:v>7.9459999999999997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DF-4124-B54B-A7F0CAEEF575}"/>
            </c:ext>
          </c:extLst>
        </c:ser>
        <c:ser>
          <c:idx val="0"/>
          <c:order val="1"/>
          <c:tx>
            <c:strRef>
              <c:f>[1]Sheet1!$A$85</c:f>
              <c:strCache>
                <c:ptCount val="1"/>
                <c:pt idx="0">
                  <c:v>B-17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[1]Sheet1!$D$85:$D$89</c:f>
              <c:numCache>
                <c:formatCode>General</c:formatCode>
                <c:ptCount val="5"/>
                <c:pt idx="0">
                  <c:v>0</c:v>
                </c:pt>
                <c:pt idx="1">
                  <c:v>1.0089999999999999</c:v>
                </c:pt>
                <c:pt idx="2">
                  <c:v>3.2</c:v>
                </c:pt>
                <c:pt idx="3">
                  <c:v>6</c:v>
                </c:pt>
                <c:pt idx="4">
                  <c:v>28</c:v>
                </c:pt>
              </c:numCache>
            </c:numRef>
          </c:xVal>
          <c:yVal>
            <c:numRef>
              <c:f>[1]Sheet1!$E$85:$E$89</c:f>
              <c:numCache>
                <c:formatCode>General</c:formatCode>
                <c:ptCount val="5"/>
                <c:pt idx="0">
                  <c:v>6.9260000000000002</c:v>
                </c:pt>
                <c:pt idx="1">
                  <c:v>-3.2000000000000001E-2</c:v>
                </c:pt>
                <c:pt idx="2">
                  <c:v>4.4180000000000001</c:v>
                </c:pt>
                <c:pt idx="3">
                  <c:v>6.7039999999999997</c:v>
                </c:pt>
                <c:pt idx="4">
                  <c:v>7.9459999999999997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DF-4124-B54B-A7F0CAEEF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54109445110571"/>
          <c:y val="0.12901518562171516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[1]Sheet1!$C$90:$C$94</c:f>
              <c:numCache>
                <c:formatCode>General</c:formatCode>
                <c:ptCount val="5"/>
                <c:pt idx="0">
                  <c:v>8.02</c:v>
                </c:pt>
                <c:pt idx="1">
                  <c:v>8.02</c:v>
                </c:pt>
                <c:pt idx="2">
                  <c:v>8.02</c:v>
                </c:pt>
                <c:pt idx="3">
                  <c:v>8.02</c:v>
                </c:pt>
                <c:pt idx="4">
                  <c:v>8.02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4F-41C0-B314-DF70C7ACEF14}"/>
            </c:ext>
          </c:extLst>
        </c:ser>
        <c:ser>
          <c:idx val="0"/>
          <c:order val="1"/>
          <c:tx>
            <c:strRef>
              <c:f>[1]Sheet1!$A$90</c:f>
              <c:strCache>
                <c:ptCount val="1"/>
                <c:pt idx="0">
                  <c:v>B-18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[1]Sheet1!$D$90:$D$94</c:f>
              <c:numCache>
                <c:formatCode>General</c:formatCode>
                <c:ptCount val="5"/>
                <c:pt idx="0">
                  <c:v>0</c:v>
                </c:pt>
                <c:pt idx="1">
                  <c:v>0.28599999999999998</c:v>
                </c:pt>
                <c:pt idx="2">
                  <c:v>2.5</c:v>
                </c:pt>
                <c:pt idx="3">
                  <c:v>5</c:v>
                </c:pt>
                <c:pt idx="4">
                  <c:v>21</c:v>
                </c:pt>
              </c:numCache>
            </c:numRef>
          </c:xVal>
          <c:yVal>
            <c:numRef>
              <c:f>[1]Sheet1!$E$90:$E$94</c:f>
              <c:numCache>
                <c:formatCode>General</c:formatCode>
                <c:ptCount val="5"/>
                <c:pt idx="0">
                  <c:v>7.1189999999999998</c:v>
                </c:pt>
                <c:pt idx="1">
                  <c:v>0.84099999999999997</c:v>
                </c:pt>
                <c:pt idx="2">
                  <c:v>4.7919999999999998</c:v>
                </c:pt>
                <c:pt idx="3">
                  <c:v>6.7110000000000003</c:v>
                </c:pt>
                <c:pt idx="4">
                  <c:v>8.02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4F-41C0-B314-DF70C7ACE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54109445110571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[1]Sheet1!$C$95:$C$99</c:f>
              <c:numCache>
                <c:formatCode>General</c:formatCode>
                <c:ptCount val="5"/>
                <c:pt idx="0">
                  <c:v>8.0090000000000003</c:v>
                </c:pt>
                <c:pt idx="1">
                  <c:v>8.0090000000000003</c:v>
                </c:pt>
                <c:pt idx="2">
                  <c:v>8.0090000000000003</c:v>
                </c:pt>
                <c:pt idx="3">
                  <c:v>8.0090000000000003</c:v>
                </c:pt>
                <c:pt idx="4">
                  <c:v>8.0090000000000003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4-494E-A0FE-0C604E6DC685}"/>
            </c:ext>
          </c:extLst>
        </c:ser>
        <c:ser>
          <c:idx val="0"/>
          <c:order val="1"/>
          <c:tx>
            <c:strRef>
              <c:f>[1]Sheet1!$A$95</c:f>
              <c:strCache>
                <c:ptCount val="1"/>
                <c:pt idx="0">
                  <c:v>D-19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[1]Sheet1!$D$95:$D$99</c:f>
              <c:numCache>
                <c:formatCode>General</c:formatCode>
                <c:ptCount val="5"/>
                <c:pt idx="0">
                  <c:v>0</c:v>
                </c:pt>
                <c:pt idx="1">
                  <c:v>0.52800000000000002</c:v>
                </c:pt>
                <c:pt idx="2">
                  <c:v>3</c:v>
                </c:pt>
                <c:pt idx="3">
                  <c:v>6</c:v>
                </c:pt>
                <c:pt idx="4">
                  <c:v>28</c:v>
                </c:pt>
              </c:numCache>
            </c:numRef>
          </c:xVal>
          <c:yVal>
            <c:numRef>
              <c:f>[1]Sheet1!$E$95:$E$99</c:f>
              <c:numCache>
                <c:formatCode>General</c:formatCode>
                <c:ptCount val="5"/>
                <c:pt idx="0">
                  <c:v>7.2679999999999998</c:v>
                </c:pt>
                <c:pt idx="1">
                  <c:v>0.51500000000000001</c:v>
                </c:pt>
                <c:pt idx="2">
                  <c:v>4.9489999999999998</c:v>
                </c:pt>
                <c:pt idx="3">
                  <c:v>6.976</c:v>
                </c:pt>
                <c:pt idx="4">
                  <c:v>8.0090000000000003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74-494E-A0FE-0C604E6D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[1]Sheet1!$C$100:$C$104</c:f>
              <c:numCache>
                <c:formatCode>General</c:formatCode>
                <c:ptCount val="5"/>
                <c:pt idx="0">
                  <c:v>8.0749999999999993</c:v>
                </c:pt>
                <c:pt idx="1">
                  <c:v>8.0749999999999993</c:v>
                </c:pt>
                <c:pt idx="2">
                  <c:v>8.0749999999999993</c:v>
                </c:pt>
                <c:pt idx="3">
                  <c:v>8.0749999999999993</c:v>
                </c:pt>
                <c:pt idx="4">
                  <c:v>8.0749999999999993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D7-48D4-BC88-DEB33300915F}"/>
            </c:ext>
          </c:extLst>
        </c:ser>
        <c:ser>
          <c:idx val="0"/>
          <c:order val="1"/>
          <c:tx>
            <c:strRef>
              <c:f>[1]Sheet1!$A$100</c:f>
              <c:strCache>
                <c:ptCount val="1"/>
                <c:pt idx="0">
                  <c:v>D-20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[1]Sheet1!$D$100:$D$104</c:f>
              <c:numCache>
                <c:formatCode>General</c:formatCode>
                <c:ptCount val="5"/>
                <c:pt idx="0">
                  <c:v>0</c:v>
                </c:pt>
                <c:pt idx="1">
                  <c:v>0.61699999999999999</c:v>
                </c:pt>
                <c:pt idx="2">
                  <c:v>3.1</c:v>
                </c:pt>
                <c:pt idx="3">
                  <c:v>6.3</c:v>
                </c:pt>
                <c:pt idx="4">
                  <c:v>29</c:v>
                </c:pt>
              </c:numCache>
            </c:numRef>
          </c:xVal>
          <c:yVal>
            <c:numRef>
              <c:f>[1]Sheet1!$E$100:$E$104</c:f>
              <c:numCache>
                <c:formatCode>General</c:formatCode>
                <c:ptCount val="5"/>
                <c:pt idx="0">
                  <c:v>7.4450000000000003</c:v>
                </c:pt>
                <c:pt idx="1">
                  <c:v>0.31900000000000001</c:v>
                </c:pt>
                <c:pt idx="2">
                  <c:v>4.8360000000000003</c:v>
                </c:pt>
                <c:pt idx="3">
                  <c:v>7.0250000000000004</c:v>
                </c:pt>
                <c:pt idx="4">
                  <c:v>8.0749999999999993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D7-48D4-BC88-DEB333009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[1]Sheet1!$C$105:$C$109</c:f>
              <c:numCache>
                <c:formatCode>General</c:formatCode>
                <c:ptCount val="5"/>
                <c:pt idx="0">
                  <c:v>7.9359999999999999</c:v>
                </c:pt>
                <c:pt idx="1">
                  <c:v>7.9359999999999999</c:v>
                </c:pt>
                <c:pt idx="2">
                  <c:v>7.9359999999999999</c:v>
                </c:pt>
                <c:pt idx="3">
                  <c:v>7.9359999999999999</c:v>
                </c:pt>
                <c:pt idx="4">
                  <c:v>7.9359999999999999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5-4763-A6D9-093FC721A08A}"/>
            </c:ext>
          </c:extLst>
        </c:ser>
        <c:ser>
          <c:idx val="0"/>
          <c:order val="1"/>
          <c:tx>
            <c:strRef>
              <c:f>[1]Sheet1!$A$105</c:f>
              <c:strCache>
                <c:ptCount val="1"/>
                <c:pt idx="0">
                  <c:v>D-21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[1]Sheet1!$D$105:$D$109</c:f>
              <c:numCache>
                <c:formatCode>General</c:formatCode>
                <c:ptCount val="5"/>
                <c:pt idx="0">
                  <c:v>0</c:v>
                </c:pt>
                <c:pt idx="1">
                  <c:v>0.46100000000000002</c:v>
                </c:pt>
                <c:pt idx="2">
                  <c:v>3</c:v>
                </c:pt>
                <c:pt idx="3">
                  <c:v>6.5</c:v>
                </c:pt>
                <c:pt idx="4">
                  <c:v>27</c:v>
                </c:pt>
              </c:numCache>
            </c:numRef>
          </c:xVal>
          <c:yVal>
            <c:numRef>
              <c:f>[1]Sheet1!$E$105:$E$109</c:f>
              <c:numCache>
                <c:formatCode>General</c:formatCode>
                <c:ptCount val="5"/>
                <c:pt idx="0">
                  <c:v>7.2050000000000001</c:v>
                </c:pt>
                <c:pt idx="1">
                  <c:v>0.55500000000000005</c:v>
                </c:pt>
                <c:pt idx="2">
                  <c:v>5.0789999999999997</c:v>
                </c:pt>
                <c:pt idx="3">
                  <c:v>7.1639999999999997</c:v>
                </c:pt>
                <c:pt idx="4">
                  <c:v>7.9359999999999999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D5-4763-A6D9-093FC721A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[1]Sheet1!$C$110:$C$114</c:f>
              <c:numCache>
                <c:formatCode>General</c:formatCode>
                <c:ptCount val="5"/>
                <c:pt idx="0">
                  <c:v>7.8739999999999997</c:v>
                </c:pt>
                <c:pt idx="1">
                  <c:v>7.8739999999999997</c:v>
                </c:pt>
                <c:pt idx="2">
                  <c:v>7.8739999999999997</c:v>
                </c:pt>
                <c:pt idx="3">
                  <c:v>7.8739999999999997</c:v>
                </c:pt>
                <c:pt idx="4">
                  <c:v>7.8739999999999997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A9-4BED-A311-3851C2C298FC}"/>
            </c:ext>
          </c:extLst>
        </c:ser>
        <c:ser>
          <c:idx val="0"/>
          <c:order val="1"/>
          <c:tx>
            <c:strRef>
              <c:f>[1]Sheet1!$A$110</c:f>
              <c:strCache>
                <c:ptCount val="1"/>
                <c:pt idx="0">
                  <c:v>D-22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[1]Sheet1!$D$110:$D$114</c:f>
              <c:numCache>
                <c:formatCode>General</c:formatCode>
                <c:ptCount val="5"/>
                <c:pt idx="0">
                  <c:v>0</c:v>
                </c:pt>
                <c:pt idx="1">
                  <c:v>-0.32600000000000001</c:v>
                </c:pt>
                <c:pt idx="2">
                  <c:v>2.5</c:v>
                </c:pt>
                <c:pt idx="3">
                  <c:v>6</c:v>
                </c:pt>
                <c:pt idx="4">
                  <c:v>24</c:v>
                </c:pt>
              </c:numCache>
            </c:numRef>
          </c:xVal>
          <c:yVal>
            <c:numRef>
              <c:f>[1]Sheet1!$E$110:$E$114</c:f>
              <c:numCache>
                <c:formatCode>General</c:formatCode>
                <c:ptCount val="5"/>
                <c:pt idx="0">
                  <c:v>5.6239999999999997</c:v>
                </c:pt>
                <c:pt idx="1">
                  <c:v>1.194</c:v>
                </c:pt>
                <c:pt idx="2">
                  <c:v>5.96</c:v>
                </c:pt>
                <c:pt idx="3">
                  <c:v>7.3769999999999998</c:v>
                </c:pt>
                <c:pt idx="4">
                  <c:v>7.8739999999999997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A9-4BED-A311-3851C2C29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98553686527276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[1]Sheet1!$C$115:$C$119</c:f>
              <c:numCache>
                <c:formatCode>General</c:formatCode>
                <c:ptCount val="5"/>
                <c:pt idx="0">
                  <c:v>7.9669999999999996</c:v>
                </c:pt>
                <c:pt idx="1">
                  <c:v>7.9669999999999996</c:v>
                </c:pt>
                <c:pt idx="2">
                  <c:v>7.9669999999999996</c:v>
                </c:pt>
                <c:pt idx="3">
                  <c:v>7.9669999999999996</c:v>
                </c:pt>
                <c:pt idx="4">
                  <c:v>7.9669999999999996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FB-48B4-98E8-30082EA6B041}"/>
            </c:ext>
          </c:extLst>
        </c:ser>
        <c:ser>
          <c:idx val="0"/>
          <c:order val="1"/>
          <c:tx>
            <c:strRef>
              <c:f>[1]Sheet1!$A$115</c:f>
              <c:strCache>
                <c:ptCount val="1"/>
                <c:pt idx="0">
                  <c:v>D-23</c:v>
                </c:pt>
              </c:strCache>
            </c:strRef>
          </c:tx>
          <c:spPr>
            <a:ln w="12700" cap="rnd">
              <a:solidFill>
                <a:srgbClr val="4472C4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[1]Sheet1!$D$115:$D$119</c:f>
              <c:numCache>
                <c:formatCode>General</c:formatCode>
                <c:ptCount val="5"/>
                <c:pt idx="0">
                  <c:v>0</c:v>
                </c:pt>
                <c:pt idx="1">
                  <c:v>-0.26700000000000002</c:v>
                </c:pt>
                <c:pt idx="2">
                  <c:v>2</c:v>
                </c:pt>
                <c:pt idx="3">
                  <c:v>5</c:v>
                </c:pt>
                <c:pt idx="4">
                  <c:v>26</c:v>
                </c:pt>
              </c:numCache>
            </c:numRef>
          </c:xVal>
          <c:yVal>
            <c:numRef>
              <c:f>[1]Sheet1!$E$115:$E$119</c:f>
              <c:numCache>
                <c:formatCode>General</c:formatCode>
                <c:ptCount val="5"/>
                <c:pt idx="0">
                  <c:v>6.0259999999999998</c:v>
                </c:pt>
                <c:pt idx="1">
                  <c:v>1.9019999999999999</c:v>
                </c:pt>
                <c:pt idx="2">
                  <c:v>5.343</c:v>
                </c:pt>
                <c:pt idx="3">
                  <c:v>7.0990000000000002</c:v>
                </c:pt>
                <c:pt idx="4">
                  <c:v>7.9669999999999996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FB-48B4-98E8-30082EA6B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063989962358841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Dhaleshwari River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[1]Sheet1!$C$120:$C$124</c:f>
              <c:numCache>
                <c:formatCode>General</c:formatCode>
                <c:ptCount val="5"/>
                <c:pt idx="0">
                  <c:v>7.915</c:v>
                </c:pt>
                <c:pt idx="1">
                  <c:v>7.915</c:v>
                </c:pt>
                <c:pt idx="2">
                  <c:v>7.915</c:v>
                </c:pt>
                <c:pt idx="3">
                  <c:v>7.915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54-4F70-8714-F47E0BFA01EF}"/>
            </c:ext>
          </c:extLst>
        </c:ser>
        <c:ser>
          <c:idx val="0"/>
          <c:order val="1"/>
          <c:tx>
            <c:strRef>
              <c:f>[1]Sheet1!$A$120</c:f>
              <c:strCache>
                <c:ptCount val="1"/>
                <c:pt idx="0">
                  <c:v>D-24</c:v>
                </c:pt>
              </c:strCache>
            </c:strRef>
          </c:tx>
          <c:spPr>
            <a:ln w="12700" cap="rnd">
              <a:solidFill>
                <a:srgbClr val="4472C4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[1]Sheet1!$D$120:$D$124</c:f>
              <c:numCache>
                <c:formatCode>General</c:formatCode>
                <c:ptCount val="5"/>
                <c:pt idx="0">
                  <c:v>0</c:v>
                </c:pt>
                <c:pt idx="1">
                  <c:v>0.15</c:v>
                </c:pt>
                <c:pt idx="2">
                  <c:v>1.7</c:v>
                </c:pt>
                <c:pt idx="3">
                  <c:v>4</c:v>
                </c:pt>
                <c:pt idx="4">
                  <c:v>25</c:v>
                </c:pt>
              </c:numCache>
            </c:numRef>
          </c:xVal>
          <c:yVal>
            <c:numRef>
              <c:f>[1]Sheet1!$E$120:$E$124</c:f>
              <c:numCache>
                <c:formatCode>General</c:formatCode>
                <c:ptCount val="5"/>
                <c:pt idx="0">
                  <c:v>5.9249999999999998</c:v>
                </c:pt>
                <c:pt idx="1">
                  <c:v>1.976</c:v>
                </c:pt>
                <c:pt idx="2">
                  <c:v>4.6070000000000002</c:v>
                </c:pt>
                <c:pt idx="3">
                  <c:v>6.5279999999999996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54-4F70-8714-F47E0BFA0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197334396240871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[1]Sheet1!$C$125:$C$129</c:f>
              <c:numCache>
                <c:formatCode>General</c:formatCode>
                <c:ptCount val="5"/>
                <c:pt idx="0">
                  <c:v>7.8949999999999996</c:v>
                </c:pt>
                <c:pt idx="1">
                  <c:v>7.8949999999999996</c:v>
                </c:pt>
                <c:pt idx="2">
                  <c:v>7.8949999999999996</c:v>
                </c:pt>
                <c:pt idx="3">
                  <c:v>7.8949999999999996</c:v>
                </c:pt>
                <c:pt idx="4">
                  <c:v>7.8949999999999996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7D-46D5-95E8-C6C2ED1DBCF2}"/>
            </c:ext>
          </c:extLst>
        </c:ser>
        <c:ser>
          <c:idx val="0"/>
          <c:order val="1"/>
          <c:tx>
            <c:strRef>
              <c:f>[1]Sheet1!$A$125</c:f>
              <c:strCache>
                <c:ptCount val="1"/>
                <c:pt idx="0">
                  <c:v>D-25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[1]Sheet1!$D$125:$D$129</c:f>
              <c:numCache>
                <c:formatCode>General</c:formatCode>
                <c:ptCount val="5"/>
                <c:pt idx="0">
                  <c:v>0</c:v>
                </c:pt>
                <c:pt idx="1">
                  <c:v>-0.40300000000000002</c:v>
                </c:pt>
                <c:pt idx="2">
                  <c:v>3</c:v>
                </c:pt>
                <c:pt idx="3">
                  <c:v>5</c:v>
                </c:pt>
                <c:pt idx="4">
                  <c:v>24</c:v>
                </c:pt>
              </c:numCache>
            </c:numRef>
          </c:xVal>
          <c:yVal>
            <c:numRef>
              <c:f>[1]Sheet1!$E$125:$E$129</c:f>
              <c:numCache>
                <c:formatCode>General</c:formatCode>
                <c:ptCount val="5"/>
                <c:pt idx="0">
                  <c:v>4.0640000000000001</c:v>
                </c:pt>
                <c:pt idx="1">
                  <c:v>3.7709999999999999</c:v>
                </c:pt>
                <c:pt idx="2">
                  <c:v>6.7679999999999998</c:v>
                </c:pt>
                <c:pt idx="3">
                  <c:v>7.3689999999999998</c:v>
                </c:pt>
                <c:pt idx="4">
                  <c:v>7.8949999999999996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7D-46D5-95E8-C6C2ED1DB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98553686527276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453501812900739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[1]Sheet1!$C$130:$C$134</c:f>
              <c:numCache>
                <c:formatCode>General</c:formatCode>
                <c:ptCount val="5"/>
                <c:pt idx="0">
                  <c:v>7.8440000000000003</c:v>
                </c:pt>
                <c:pt idx="1">
                  <c:v>7.8440000000000003</c:v>
                </c:pt>
                <c:pt idx="2">
                  <c:v>7.8440000000000003</c:v>
                </c:pt>
                <c:pt idx="3">
                  <c:v>7.8440000000000003</c:v>
                </c:pt>
                <c:pt idx="4">
                  <c:v>7.8440000000000003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EB-439F-9C6D-FFAF799F9576}"/>
            </c:ext>
          </c:extLst>
        </c:ser>
        <c:ser>
          <c:idx val="0"/>
          <c:order val="1"/>
          <c:tx>
            <c:strRef>
              <c:f>[1]Sheet1!$A$130</c:f>
              <c:strCache>
                <c:ptCount val="1"/>
                <c:pt idx="0">
                  <c:v>D-26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[1]Sheet1!$D$130:$D$134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2</c:v>
                </c:pt>
                <c:pt idx="3">
                  <c:v>5</c:v>
                </c:pt>
                <c:pt idx="4">
                  <c:v>25</c:v>
                </c:pt>
              </c:numCache>
            </c:numRef>
          </c:xVal>
          <c:yVal>
            <c:numRef>
              <c:f>[1]Sheet1!$E$130:$E$134</c:f>
              <c:numCache>
                <c:formatCode>General</c:formatCode>
                <c:ptCount val="5"/>
                <c:pt idx="0">
                  <c:v>5.3739999999999997</c:v>
                </c:pt>
                <c:pt idx="1">
                  <c:v>2.431</c:v>
                </c:pt>
                <c:pt idx="2">
                  <c:v>5.1050000000000004</c:v>
                </c:pt>
                <c:pt idx="3">
                  <c:v>6.9939999999999998</c:v>
                </c:pt>
                <c:pt idx="4">
                  <c:v>7.8440000000000003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EB-439F-9C6D-FFAF799F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063989962358841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[1]Sheet1!$C$135:$C$139</c:f>
              <c:numCache>
                <c:formatCode>General</c:formatCode>
                <c:ptCount val="5"/>
                <c:pt idx="0">
                  <c:v>7.7549999999999999</c:v>
                </c:pt>
                <c:pt idx="1">
                  <c:v>7.7549999999999999</c:v>
                </c:pt>
                <c:pt idx="2">
                  <c:v>7.7549999999999999</c:v>
                </c:pt>
                <c:pt idx="3">
                  <c:v>7.7549999999999999</c:v>
                </c:pt>
                <c:pt idx="4">
                  <c:v>7.7549999999999999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CA-4840-B56E-C6332A737824}"/>
            </c:ext>
          </c:extLst>
        </c:ser>
        <c:ser>
          <c:idx val="0"/>
          <c:order val="1"/>
          <c:tx>
            <c:strRef>
              <c:f>[1]Sheet1!$A$135</c:f>
              <c:strCache>
                <c:ptCount val="1"/>
                <c:pt idx="0">
                  <c:v>S-27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[1]Sheet1!$D$135:$D$139</c:f>
              <c:numCache>
                <c:formatCode>General</c:formatCode>
                <c:ptCount val="5"/>
                <c:pt idx="0">
                  <c:v>0</c:v>
                </c:pt>
                <c:pt idx="1">
                  <c:v>0.189</c:v>
                </c:pt>
                <c:pt idx="2">
                  <c:v>2.5</c:v>
                </c:pt>
                <c:pt idx="3">
                  <c:v>4</c:v>
                </c:pt>
                <c:pt idx="4">
                  <c:v>23</c:v>
                </c:pt>
              </c:numCache>
            </c:numRef>
          </c:xVal>
          <c:yVal>
            <c:numRef>
              <c:f>[1]Sheet1!$E$135:$E$139</c:f>
              <c:numCache>
                <c:formatCode>General</c:formatCode>
                <c:ptCount val="5"/>
                <c:pt idx="0">
                  <c:v>3.4550000000000001</c:v>
                </c:pt>
                <c:pt idx="1">
                  <c:v>4.2850000000000001</c:v>
                </c:pt>
                <c:pt idx="2">
                  <c:v>6.3979999999999997</c:v>
                </c:pt>
                <c:pt idx="3">
                  <c:v>7.0179999999999998</c:v>
                </c:pt>
                <c:pt idx="4">
                  <c:v>7.7549999999999999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CA-4840-B56E-C6332A737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98553686527276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[1]Sheet1!$C$140:$C$144</c:f>
              <c:numCache>
                <c:formatCode>General</c:formatCode>
                <c:ptCount val="5"/>
                <c:pt idx="0">
                  <c:v>7.9880000000000004</c:v>
                </c:pt>
                <c:pt idx="1">
                  <c:v>7.9880000000000004</c:v>
                </c:pt>
                <c:pt idx="2">
                  <c:v>7.9880000000000004</c:v>
                </c:pt>
                <c:pt idx="3">
                  <c:v>7.9880000000000004</c:v>
                </c:pt>
                <c:pt idx="4">
                  <c:v>7.9880000000000004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2-4B7D-B1CD-98CDBFC73AB2}"/>
            </c:ext>
          </c:extLst>
        </c:ser>
        <c:ser>
          <c:idx val="0"/>
          <c:order val="1"/>
          <c:tx>
            <c:strRef>
              <c:f>[1]Sheet1!$A$140</c:f>
              <c:strCache>
                <c:ptCount val="1"/>
                <c:pt idx="0">
                  <c:v>S-28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rgbClr val="4472C4"/>
                </a:solidFill>
              </a:ln>
              <a:effectLst/>
            </c:spPr>
          </c:marker>
          <c:xVal>
            <c:numRef>
              <c:f>[1]Sheet1!$D$140:$D$144</c:f>
              <c:numCache>
                <c:formatCode>General</c:formatCode>
                <c:ptCount val="5"/>
                <c:pt idx="0">
                  <c:v>0</c:v>
                </c:pt>
                <c:pt idx="1">
                  <c:v>-0.15</c:v>
                </c:pt>
                <c:pt idx="2">
                  <c:v>3</c:v>
                </c:pt>
                <c:pt idx="3">
                  <c:v>6</c:v>
                </c:pt>
                <c:pt idx="4">
                  <c:v>26</c:v>
                </c:pt>
              </c:numCache>
            </c:numRef>
          </c:xVal>
          <c:yVal>
            <c:numRef>
              <c:f>[1]Sheet1!$E$140:$E$144</c:f>
              <c:numCache>
                <c:formatCode>General</c:formatCode>
                <c:ptCount val="5"/>
                <c:pt idx="0">
                  <c:v>6.2569999999999997</c:v>
                </c:pt>
                <c:pt idx="1">
                  <c:v>1.7150000000000001</c:v>
                </c:pt>
                <c:pt idx="2">
                  <c:v>6.0119999999999996</c:v>
                </c:pt>
                <c:pt idx="3">
                  <c:v>7.3289999999999997</c:v>
                </c:pt>
                <c:pt idx="4">
                  <c:v>7.9880000000000004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92-4B7D-B1CD-98CDBFC73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[1]Sheet1!$C$145:$C$149</c:f>
              <c:numCache>
                <c:formatCode>General</c:formatCode>
                <c:ptCount val="5"/>
                <c:pt idx="0">
                  <c:v>7.9770000000000003</c:v>
                </c:pt>
                <c:pt idx="1">
                  <c:v>7.9770000000000003</c:v>
                </c:pt>
                <c:pt idx="2">
                  <c:v>7.9770000000000003</c:v>
                </c:pt>
                <c:pt idx="3">
                  <c:v>7.9770000000000003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F1-41A9-A7F4-7AFEA6499F06}"/>
            </c:ext>
          </c:extLst>
        </c:ser>
        <c:ser>
          <c:idx val="0"/>
          <c:order val="1"/>
          <c:tx>
            <c:strRef>
              <c:f>[1]Sheet1!$A$145</c:f>
              <c:strCache>
                <c:ptCount val="1"/>
                <c:pt idx="0">
                  <c:v>S-29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[1]Sheet1!$D$145:$D$149</c:f>
              <c:numCache>
                <c:formatCode>General</c:formatCode>
                <c:ptCount val="5"/>
                <c:pt idx="0">
                  <c:v>0</c:v>
                </c:pt>
                <c:pt idx="1">
                  <c:v>0.43</c:v>
                </c:pt>
                <c:pt idx="2">
                  <c:v>2</c:v>
                </c:pt>
                <c:pt idx="3">
                  <c:v>5</c:v>
                </c:pt>
                <c:pt idx="4">
                  <c:v>27</c:v>
                </c:pt>
              </c:numCache>
            </c:numRef>
          </c:xVal>
          <c:yVal>
            <c:numRef>
              <c:f>[1]Sheet1!$E$145:$E$149</c:f>
              <c:numCache>
                <c:formatCode>General</c:formatCode>
                <c:ptCount val="5"/>
                <c:pt idx="0">
                  <c:v>6.8869999999999996</c:v>
                </c:pt>
                <c:pt idx="1">
                  <c:v>0.95</c:v>
                </c:pt>
                <c:pt idx="2">
                  <c:v>4.6870000000000003</c:v>
                </c:pt>
                <c:pt idx="3">
                  <c:v>6.6630000000000003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F1-41A9-A7F4-7AFEA649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[1]Sheet1!$C$150:$C$154</c:f>
              <c:numCache>
                <c:formatCode>General</c:formatCode>
                <c:ptCount val="5"/>
                <c:pt idx="0">
                  <c:v>7.9770000000000003</c:v>
                </c:pt>
                <c:pt idx="1">
                  <c:v>7.9770000000000003</c:v>
                </c:pt>
                <c:pt idx="2">
                  <c:v>7.9770000000000003</c:v>
                </c:pt>
                <c:pt idx="3">
                  <c:v>7.9770000000000003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F-41AF-89EC-4CEAF35E9E13}"/>
            </c:ext>
          </c:extLst>
        </c:ser>
        <c:ser>
          <c:idx val="0"/>
          <c:order val="1"/>
          <c:tx>
            <c:strRef>
              <c:f>[1]Sheet1!$A$150</c:f>
              <c:strCache>
                <c:ptCount val="1"/>
                <c:pt idx="0">
                  <c:v>S-30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[1]Sheet1!$D$150:$D$154</c:f>
              <c:numCache>
                <c:formatCode>General</c:formatCode>
                <c:ptCount val="5"/>
                <c:pt idx="0">
                  <c:v>0</c:v>
                </c:pt>
                <c:pt idx="1">
                  <c:v>0.25900000000000001</c:v>
                </c:pt>
                <c:pt idx="2">
                  <c:v>2.2000000000000002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[1]Sheet1!$E$150:$E$154</c:f>
              <c:numCache>
                <c:formatCode>General</c:formatCode>
                <c:ptCount val="5"/>
                <c:pt idx="0">
                  <c:v>6.7370000000000001</c:v>
                </c:pt>
                <c:pt idx="1">
                  <c:v>1.1930000000000001</c:v>
                </c:pt>
                <c:pt idx="2">
                  <c:v>4.649</c:v>
                </c:pt>
                <c:pt idx="3">
                  <c:v>7.1520000000000001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6F-41AF-89EC-4CEAF35E9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[1]Sheet1!$C$155:$C$159</c:f>
              <c:numCache>
                <c:formatCode>General</c:formatCode>
                <c:ptCount val="5"/>
                <c:pt idx="0">
                  <c:v>7.9770000000000003</c:v>
                </c:pt>
                <c:pt idx="1">
                  <c:v>7.9770000000000003</c:v>
                </c:pt>
                <c:pt idx="2">
                  <c:v>7.9770000000000003</c:v>
                </c:pt>
                <c:pt idx="3">
                  <c:v>7.9770000000000003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06-457F-AF98-971CEABB2CAA}"/>
            </c:ext>
          </c:extLst>
        </c:ser>
        <c:ser>
          <c:idx val="0"/>
          <c:order val="1"/>
          <c:tx>
            <c:strRef>
              <c:f>[1]Sheet1!$A$155</c:f>
              <c:strCache>
                <c:ptCount val="1"/>
                <c:pt idx="0">
                  <c:v>S-31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[1]Sheet1!$D$155:$D$159</c:f>
              <c:numCache>
                <c:formatCode>General</c:formatCode>
                <c:ptCount val="5"/>
                <c:pt idx="0">
                  <c:v>0</c:v>
                </c:pt>
                <c:pt idx="1">
                  <c:v>0.52200000000000002</c:v>
                </c:pt>
                <c:pt idx="2">
                  <c:v>2.5</c:v>
                </c:pt>
                <c:pt idx="3">
                  <c:v>5.5</c:v>
                </c:pt>
                <c:pt idx="4">
                  <c:v>27</c:v>
                </c:pt>
              </c:numCache>
            </c:numRef>
          </c:xVal>
          <c:yVal>
            <c:numRef>
              <c:f>[1]Sheet1!$E$155:$E$159</c:f>
              <c:numCache>
                <c:formatCode>General</c:formatCode>
                <c:ptCount val="5"/>
                <c:pt idx="0">
                  <c:v>7.4870000000000001</c:v>
                </c:pt>
                <c:pt idx="1">
                  <c:v>0.25900000000000001</c:v>
                </c:pt>
                <c:pt idx="2">
                  <c:v>4.242</c:v>
                </c:pt>
                <c:pt idx="3">
                  <c:v>6.7350000000000003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06-457F-AF98-971CEABB2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[1]Sheet1!$C$160:$C$164</c:f>
              <c:numCache>
                <c:formatCode>General</c:formatCode>
                <c:ptCount val="5"/>
                <c:pt idx="0">
                  <c:v>7.9880000000000004</c:v>
                </c:pt>
                <c:pt idx="1">
                  <c:v>7.9880000000000004</c:v>
                </c:pt>
                <c:pt idx="2">
                  <c:v>7.9880000000000004</c:v>
                </c:pt>
                <c:pt idx="3">
                  <c:v>7.9880000000000004</c:v>
                </c:pt>
                <c:pt idx="4">
                  <c:v>7.9880000000000004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96-49AD-B4A6-E86886ED57F7}"/>
            </c:ext>
          </c:extLst>
        </c:ser>
        <c:ser>
          <c:idx val="0"/>
          <c:order val="1"/>
          <c:tx>
            <c:strRef>
              <c:f>[1]Sheet1!$A$160</c:f>
              <c:strCache>
                <c:ptCount val="1"/>
                <c:pt idx="0">
                  <c:v>S-32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[1]Sheet1!$D$160:$D$164</c:f>
              <c:numCache>
                <c:formatCode>General</c:formatCode>
                <c:ptCount val="5"/>
                <c:pt idx="0">
                  <c:v>0</c:v>
                </c:pt>
                <c:pt idx="1">
                  <c:v>1.1399999999999999</c:v>
                </c:pt>
                <c:pt idx="2">
                  <c:v>3</c:v>
                </c:pt>
                <c:pt idx="3">
                  <c:v>6</c:v>
                </c:pt>
                <c:pt idx="4">
                  <c:v>28</c:v>
                </c:pt>
              </c:numCache>
            </c:numRef>
          </c:xVal>
          <c:yVal>
            <c:numRef>
              <c:f>[1]Sheet1!$E$160:$E$164</c:f>
              <c:numCache>
                <c:formatCode>General</c:formatCode>
                <c:ptCount val="5"/>
                <c:pt idx="0">
                  <c:v>7.5469999999999997</c:v>
                </c:pt>
                <c:pt idx="1">
                  <c:v>-1.1060000000000001</c:v>
                </c:pt>
                <c:pt idx="2">
                  <c:v>3.3780000000000001</c:v>
                </c:pt>
                <c:pt idx="3">
                  <c:v>6.45</c:v>
                </c:pt>
                <c:pt idx="4">
                  <c:v>7.9880000000000004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96-49AD-B4A6-E86886ED5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[1]Sheet1!$C$165:$C$169</c:f>
              <c:numCache>
                <c:formatCode>General</c:formatCode>
                <c:ptCount val="5"/>
                <c:pt idx="0">
                  <c:v>7.9770000000000003</c:v>
                </c:pt>
                <c:pt idx="1">
                  <c:v>7.9770000000000003</c:v>
                </c:pt>
                <c:pt idx="2">
                  <c:v>7.9770000000000003</c:v>
                </c:pt>
                <c:pt idx="3">
                  <c:v>7.9770000000000003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72-41C2-BB30-8A543C745178}"/>
            </c:ext>
          </c:extLst>
        </c:ser>
        <c:ser>
          <c:idx val="0"/>
          <c:order val="1"/>
          <c:tx>
            <c:strRef>
              <c:f>[1]Sheet1!$A$165</c:f>
              <c:strCache>
                <c:ptCount val="1"/>
                <c:pt idx="0">
                  <c:v>S-33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[1]Sheet1!$D$165:$D$169</c:f>
              <c:numCache>
                <c:formatCode>General</c:formatCode>
                <c:ptCount val="5"/>
                <c:pt idx="0">
                  <c:v>0</c:v>
                </c:pt>
                <c:pt idx="1">
                  <c:v>0.47</c:v>
                </c:pt>
                <c:pt idx="2">
                  <c:v>2.6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[1]Sheet1!$E$165:$E$169</c:f>
              <c:numCache>
                <c:formatCode>General</c:formatCode>
                <c:ptCount val="5"/>
                <c:pt idx="0">
                  <c:v>7.4569999999999999</c:v>
                </c:pt>
                <c:pt idx="1">
                  <c:v>0.33500000000000002</c:v>
                </c:pt>
                <c:pt idx="2">
                  <c:v>4.476</c:v>
                </c:pt>
                <c:pt idx="3">
                  <c:v>6.9720000000000004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72-41C2-BB30-8A543C745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[1]Sheet1!$C$170:$C$174</c:f>
              <c:numCache>
                <c:formatCode>General</c:formatCode>
                <c:ptCount val="5"/>
                <c:pt idx="0">
                  <c:v>7.9669999999999996</c:v>
                </c:pt>
                <c:pt idx="1">
                  <c:v>7.9669999999999996</c:v>
                </c:pt>
                <c:pt idx="2">
                  <c:v>7.9669999999999996</c:v>
                </c:pt>
                <c:pt idx="3">
                  <c:v>7.9669999999999996</c:v>
                </c:pt>
                <c:pt idx="4">
                  <c:v>7.9669999999999996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4F-4BD7-9095-46D62BCD2ABB}"/>
            </c:ext>
          </c:extLst>
        </c:ser>
        <c:ser>
          <c:idx val="0"/>
          <c:order val="1"/>
          <c:tx>
            <c:strRef>
              <c:f>[1]Sheet1!$A$170</c:f>
              <c:strCache>
                <c:ptCount val="1"/>
                <c:pt idx="0">
                  <c:v>S-34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[1]Sheet1!$D$170:$D$174</c:f>
              <c:numCache>
                <c:formatCode>General</c:formatCode>
                <c:ptCount val="5"/>
                <c:pt idx="0">
                  <c:v>0</c:v>
                </c:pt>
                <c:pt idx="1">
                  <c:v>0.49</c:v>
                </c:pt>
                <c:pt idx="2">
                  <c:v>2.5</c:v>
                </c:pt>
                <c:pt idx="3">
                  <c:v>5</c:v>
                </c:pt>
                <c:pt idx="4">
                  <c:v>27</c:v>
                </c:pt>
              </c:numCache>
            </c:numRef>
          </c:xVal>
          <c:yVal>
            <c:numRef>
              <c:f>[1]Sheet1!$E$170:$E$174</c:f>
              <c:numCache>
                <c:formatCode>General</c:formatCode>
                <c:ptCount val="5"/>
                <c:pt idx="0">
                  <c:v>7.4359999999999999</c:v>
                </c:pt>
                <c:pt idx="1">
                  <c:v>0.32300000000000001</c:v>
                </c:pt>
                <c:pt idx="2">
                  <c:v>4.319</c:v>
                </c:pt>
                <c:pt idx="3">
                  <c:v>6.5170000000000003</c:v>
                </c:pt>
                <c:pt idx="4">
                  <c:v>7.9669999999999996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4F-4BD7-9095-46D62BCD2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[1]Sheet1!$C$175:$C$179</c:f>
              <c:numCache>
                <c:formatCode>General</c:formatCode>
                <c:ptCount val="5"/>
                <c:pt idx="0">
                  <c:v>7.9770000000000003</c:v>
                </c:pt>
                <c:pt idx="1">
                  <c:v>7.9770000000000003</c:v>
                </c:pt>
                <c:pt idx="2">
                  <c:v>7.9770000000000003</c:v>
                </c:pt>
                <c:pt idx="3">
                  <c:v>7.9770000000000003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B5-4322-96C3-1356E6837691}"/>
            </c:ext>
          </c:extLst>
        </c:ser>
        <c:ser>
          <c:idx val="0"/>
          <c:order val="1"/>
          <c:tx>
            <c:strRef>
              <c:f>[1]Sheet1!$A$175</c:f>
              <c:strCache>
                <c:ptCount val="1"/>
                <c:pt idx="0">
                  <c:v>S-35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[1]Sheet1!$D$175:$D$179</c:f>
              <c:numCache>
                <c:formatCode>General</c:formatCode>
                <c:ptCount val="5"/>
                <c:pt idx="0">
                  <c:v>0</c:v>
                </c:pt>
                <c:pt idx="1">
                  <c:v>0.7</c:v>
                </c:pt>
                <c:pt idx="2">
                  <c:v>3</c:v>
                </c:pt>
                <c:pt idx="3">
                  <c:v>6</c:v>
                </c:pt>
                <c:pt idx="4">
                  <c:v>28</c:v>
                </c:pt>
              </c:numCache>
            </c:numRef>
          </c:xVal>
          <c:yVal>
            <c:numRef>
              <c:f>[1]Sheet1!$E$175:$E$179</c:f>
              <c:numCache>
                <c:formatCode>General</c:formatCode>
                <c:ptCount val="5"/>
                <c:pt idx="0">
                  <c:v>7.6970000000000001</c:v>
                </c:pt>
                <c:pt idx="1">
                  <c:v>-0.18</c:v>
                </c:pt>
                <c:pt idx="2">
                  <c:v>4.4690000000000003</c:v>
                </c:pt>
                <c:pt idx="3">
                  <c:v>6.81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B5-4322-96C3-1356E6837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Sitalakhya River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[1]Sheet1!$C$180:$C$184</c:f>
              <c:numCache>
                <c:formatCode>General</c:formatCode>
                <c:ptCount val="5"/>
                <c:pt idx="0">
                  <c:v>7.9669999999999996</c:v>
                </c:pt>
                <c:pt idx="1">
                  <c:v>7.9669999999999996</c:v>
                </c:pt>
                <c:pt idx="2">
                  <c:v>7.9669999999999996</c:v>
                </c:pt>
                <c:pt idx="3">
                  <c:v>7.9669999999999996</c:v>
                </c:pt>
                <c:pt idx="4">
                  <c:v>7.9669999999999996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9-4F66-A526-2974C8B68EE5}"/>
            </c:ext>
          </c:extLst>
        </c:ser>
        <c:ser>
          <c:idx val="0"/>
          <c:order val="1"/>
          <c:tx>
            <c:strRef>
              <c:f>[1]Sheet1!$A$180</c:f>
              <c:strCache>
                <c:ptCount val="1"/>
                <c:pt idx="0">
                  <c:v>S-36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[1]Sheet1!$D$180:$D$184</c:f>
              <c:numCache>
                <c:formatCode>General</c:formatCode>
                <c:ptCount val="5"/>
                <c:pt idx="0">
                  <c:v>0</c:v>
                </c:pt>
                <c:pt idx="1">
                  <c:v>0.61099999999999999</c:v>
                </c:pt>
                <c:pt idx="2">
                  <c:v>2.5</c:v>
                </c:pt>
                <c:pt idx="3">
                  <c:v>5</c:v>
                </c:pt>
                <c:pt idx="4">
                  <c:v>27</c:v>
                </c:pt>
              </c:numCache>
            </c:numRef>
          </c:xVal>
          <c:yVal>
            <c:numRef>
              <c:f>[1]Sheet1!$E$180:$E$184</c:f>
              <c:numCache>
                <c:formatCode>General</c:formatCode>
                <c:ptCount val="5"/>
                <c:pt idx="0">
                  <c:v>7.476</c:v>
                </c:pt>
                <c:pt idx="1">
                  <c:v>0.159</c:v>
                </c:pt>
                <c:pt idx="2">
                  <c:v>4.08</c:v>
                </c:pt>
                <c:pt idx="3">
                  <c:v>6.4219999999999997</c:v>
                </c:pt>
                <c:pt idx="4">
                  <c:v>7.9669999999999996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F9-4F66-A526-2974C8B6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[1]Sheet1!$C$185:$C$189</c:f>
              <c:numCache>
                <c:formatCode>General</c:formatCode>
                <c:ptCount val="5"/>
                <c:pt idx="0">
                  <c:v>7.9560000000000004</c:v>
                </c:pt>
                <c:pt idx="1">
                  <c:v>7.9560000000000004</c:v>
                </c:pt>
                <c:pt idx="2">
                  <c:v>7.9560000000000004</c:v>
                </c:pt>
                <c:pt idx="3">
                  <c:v>7.9560000000000004</c:v>
                </c:pt>
                <c:pt idx="4">
                  <c:v>7.9560000000000004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91-4E55-896A-124896D211C4}"/>
            </c:ext>
          </c:extLst>
        </c:ser>
        <c:ser>
          <c:idx val="0"/>
          <c:order val="1"/>
          <c:tx>
            <c:strRef>
              <c:f>[1]Sheet1!$A$185</c:f>
              <c:strCache>
                <c:ptCount val="1"/>
                <c:pt idx="0">
                  <c:v>S-37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[1]Sheet1!$D$185:$D$189</c:f>
              <c:numCache>
                <c:formatCode>General</c:formatCode>
                <c:ptCount val="5"/>
                <c:pt idx="0">
                  <c:v>0</c:v>
                </c:pt>
                <c:pt idx="1">
                  <c:v>0.307</c:v>
                </c:pt>
                <c:pt idx="2">
                  <c:v>3</c:v>
                </c:pt>
                <c:pt idx="3">
                  <c:v>7</c:v>
                </c:pt>
                <c:pt idx="4">
                  <c:v>27</c:v>
                </c:pt>
              </c:numCache>
            </c:numRef>
          </c:xVal>
          <c:yVal>
            <c:numRef>
              <c:f>[1]Sheet1!$E$185:$E$189</c:f>
              <c:numCache>
                <c:formatCode>General</c:formatCode>
                <c:ptCount val="5"/>
                <c:pt idx="0">
                  <c:v>7.2859999999999996</c:v>
                </c:pt>
                <c:pt idx="1">
                  <c:v>0.59699999999999998</c:v>
                </c:pt>
                <c:pt idx="2">
                  <c:v>5.2460000000000004</c:v>
                </c:pt>
                <c:pt idx="3">
                  <c:v>7.3410000000000002</c:v>
                </c:pt>
                <c:pt idx="4">
                  <c:v>7.9560000000000004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91-4E55-896A-124896D21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826159230096237"/>
          <c:y val="0.125"/>
          <c:w val="0.83129396325459315"/>
          <c:h val="0.6375998833479148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[1]Sheet1!$C$4</c:f>
              <c:strCache>
                <c:ptCount val="1"/>
                <c:pt idx="0">
                  <c:v>DOsaturation (mg/L)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[1]Sheet1!$W$5:$W$8</c:f>
              <c:numCache>
                <c:formatCode>General</c:formatCode>
                <c:ptCount val="4"/>
                <c:pt idx="0">
                  <c:v>0</c:v>
                </c:pt>
                <c:pt idx="1">
                  <c:v>2.5</c:v>
                </c:pt>
                <c:pt idx="2">
                  <c:v>6</c:v>
                </c:pt>
                <c:pt idx="3">
                  <c:v>30</c:v>
                </c:pt>
              </c:numCache>
            </c:numRef>
          </c:xVal>
          <c:yVal>
            <c:numRef>
              <c:f>[1]Sheet1!$C$190:$C$194</c:f>
              <c:numCache>
                <c:formatCode>General</c:formatCode>
                <c:ptCount val="5"/>
                <c:pt idx="0">
                  <c:v>7.9880000000000004</c:v>
                </c:pt>
                <c:pt idx="1">
                  <c:v>7.9880000000000004</c:v>
                </c:pt>
                <c:pt idx="2">
                  <c:v>7.9880000000000004</c:v>
                </c:pt>
                <c:pt idx="3">
                  <c:v>7.9880000000000004</c:v>
                </c:pt>
                <c:pt idx="4">
                  <c:v>7.9880000000000004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EE-4BFC-B873-04981FC478ED}"/>
            </c:ext>
          </c:extLst>
        </c:ser>
        <c:ser>
          <c:idx val="0"/>
          <c:order val="1"/>
          <c:tx>
            <c:strRef>
              <c:f>[1]Sheet1!$A$190</c:f>
              <c:strCache>
                <c:ptCount val="1"/>
                <c:pt idx="0">
                  <c:v>S-38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[1]Sheet1!$D$190:$D$194</c:f>
              <c:numCache>
                <c:formatCode>General</c:formatCode>
                <c:ptCount val="5"/>
                <c:pt idx="0">
                  <c:v>0</c:v>
                </c:pt>
                <c:pt idx="1">
                  <c:v>0.22500000000000001</c:v>
                </c:pt>
                <c:pt idx="2">
                  <c:v>2.5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[1]Sheet1!$E$190:$E$194</c:f>
              <c:numCache>
                <c:formatCode>General</c:formatCode>
                <c:ptCount val="5"/>
                <c:pt idx="0">
                  <c:v>7.1470000000000002</c:v>
                </c:pt>
                <c:pt idx="1">
                  <c:v>0.80300000000000005</c:v>
                </c:pt>
                <c:pt idx="2">
                  <c:v>4.859</c:v>
                </c:pt>
                <c:pt idx="3">
                  <c:v>6.7350000000000003</c:v>
                </c:pt>
                <c:pt idx="4">
                  <c:v>7.9870000000000001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EE-4BFC-B873-04981FC47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136544"/>
        <c:axId val="756136960"/>
      </c:scatterChart>
      <c:valAx>
        <c:axId val="756136544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960"/>
        <c:crosses val="autoZero"/>
        <c:crossBetween val="midCat"/>
        <c:majorUnit val="5"/>
      </c:valAx>
      <c:valAx>
        <c:axId val="75613696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56136544"/>
        <c:crosses val="autoZero"/>
        <c:crossBetween val="midCat"/>
        <c:majorUnit val="2"/>
      </c:valAx>
      <c:spPr>
        <a:solidFill>
          <a:schemeClr val="bg1"/>
        </a:solidFill>
        <a:ln>
          <a:solidFill>
            <a:schemeClr val="tx1">
              <a:lumMod val="25000"/>
              <a:lumOff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354695675147144"/>
          <c:y val="0.91165513401733878"/>
          <c:w val="0.57117739403453693"/>
          <c:h val="6.811430443074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472C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DO_min (T-3)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[1]Sheet1!$D$15:$D$19</c:f>
              <c:numCache>
                <c:formatCode>General</c:formatCode>
                <c:ptCount val="5"/>
                <c:pt idx="0">
                  <c:v>0</c:v>
                </c:pt>
                <c:pt idx="1">
                  <c:v>0.36399999999999999</c:v>
                </c:pt>
                <c:pt idx="2">
                  <c:v>3</c:v>
                </c:pt>
                <c:pt idx="3">
                  <c:v>7</c:v>
                </c:pt>
                <c:pt idx="4">
                  <c:v>26</c:v>
                </c:pt>
              </c:numCache>
            </c:numRef>
          </c:xVal>
          <c:yVal>
            <c:numRef>
              <c:f>[1]Sheet1!$E$15:$E$19</c:f>
              <c:numCache>
                <c:formatCode>General</c:formatCode>
                <c:ptCount val="5"/>
                <c:pt idx="0">
                  <c:v>6.43</c:v>
                </c:pt>
                <c:pt idx="1">
                  <c:v>1.3640000000000001</c:v>
                </c:pt>
                <c:pt idx="2">
                  <c:v>5.5019999999999998</c:v>
                </c:pt>
                <c:pt idx="3">
                  <c:v>7.3730000000000002</c:v>
                </c:pt>
                <c:pt idx="4">
                  <c:v>7.8940000000000001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D6-4B36-9268-E41BD4516F79}"/>
            </c:ext>
          </c:extLst>
        </c:ser>
        <c:ser>
          <c:idx val="1"/>
          <c:order val="1"/>
          <c:tx>
            <c:v>DO_mod (T-5)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[1]Sheet1!$D$25:$D$29</c:f>
              <c:numCache>
                <c:formatCode>General</c:formatCode>
                <c:ptCount val="5"/>
                <c:pt idx="0">
                  <c:v>0</c:v>
                </c:pt>
                <c:pt idx="1">
                  <c:v>0.18</c:v>
                </c:pt>
                <c:pt idx="2">
                  <c:v>2</c:v>
                </c:pt>
                <c:pt idx="3">
                  <c:v>5</c:v>
                </c:pt>
                <c:pt idx="4">
                  <c:v>27</c:v>
                </c:pt>
              </c:numCache>
            </c:numRef>
          </c:xVal>
          <c:yVal>
            <c:numRef>
              <c:f>[1]Sheet1!$E$25:$E$29</c:f>
              <c:numCache>
                <c:formatCode>General</c:formatCode>
                <c:ptCount val="5"/>
                <c:pt idx="0">
                  <c:v>6.3739999999999997</c:v>
                </c:pt>
                <c:pt idx="1">
                  <c:v>1.508</c:v>
                </c:pt>
                <c:pt idx="2">
                  <c:v>4.6970000000000001</c:v>
                </c:pt>
                <c:pt idx="3">
                  <c:v>6.8760000000000003</c:v>
                </c:pt>
                <c:pt idx="4">
                  <c:v>7.9050000000000002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D6-4B36-9268-E41BD4516F79}"/>
            </c:ext>
          </c:extLst>
        </c:ser>
        <c:ser>
          <c:idx val="2"/>
          <c:order val="2"/>
          <c:tx>
            <c:v>DO_mod (T-7)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[1]Sheet1!$D$35:$D$39</c:f>
              <c:numCache>
                <c:formatCode>General</c:formatCode>
                <c:ptCount val="5"/>
                <c:pt idx="0">
                  <c:v>0</c:v>
                </c:pt>
                <c:pt idx="1">
                  <c:v>0.32700000000000001</c:v>
                </c:pt>
                <c:pt idx="2">
                  <c:v>2</c:v>
                </c:pt>
                <c:pt idx="3">
                  <c:v>4.5</c:v>
                </c:pt>
                <c:pt idx="4">
                  <c:v>21</c:v>
                </c:pt>
              </c:numCache>
            </c:numRef>
          </c:xVal>
          <c:yVal>
            <c:numRef>
              <c:f>[1]Sheet1!$E$35:$E$39</c:f>
              <c:numCache>
                <c:formatCode>General</c:formatCode>
                <c:ptCount val="5"/>
                <c:pt idx="0">
                  <c:v>7.13</c:v>
                </c:pt>
                <c:pt idx="1">
                  <c:v>0.82199999999999995</c:v>
                </c:pt>
                <c:pt idx="2">
                  <c:v>4.0730000000000004</c:v>
                </c:pt>
                <c:pt idx="3">
                  <c:v>6.4160000000000004</c:v>
                </c:pt>
                <c:pt idx="4">
                  <c:v>8.0299999999999994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D6-4B36-9268-E41BD4516F79}"/>
            </c:ext>
          </c:extLst>
        </c:ser>
        <c:ser>
          <c:idx val="3"/>
          <c:order val="3"/>
          <c:tx>
            <c:v>DO_max (T-8)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[1]Sheet1!$D$40:$D$44</c:f>
              <c:numCache>
                <c:formatCode>General</c:formatCode>
                <c:ptCount val="5"/>
                <c:pt idx="0">
                  <c:v>0</c:v>
                </c:pt>
                <c:pt idx="1">
                  <c:v>-2.1000000000000001E-2</c:v>
                </c:pt>
                <c:pt idx="2">
                  <c:v>2.5</c:v>
                </c:pt>
                <c:pt idx="3">
                  <c:v>5</c:v>
                </c:pt>
                <c:pt idx="4">
                  <c:v>25</c:v>
                </c:pt>
              </c:numCache>
            </c:numRef>
          </c:xVal>
          <c:yVal>
            <c:numRef>
              <c:f>[1]Sheet1!$E$40:$E$44</c:f>
              <c:numCache>
                <c:formatCode>General</c:formatCode>
                <c:ptCount val="5"/>
                <c:pt idx="0">
                  <c:v>6.1639999999999997</c:v>
                </c:pt>
                <c:pt idx="1">
                  <c:v>1.7090000000000001</c:v>
                </c:pt>
                <c:pt idx="2">
                  <c:v>5.5380000000000003</c:v>
                </c:pt>
                <c:pt idx="3">
                  <c:v>6.9820000000000002</c:v>
                </c:pt>
                <c:pt idx="4">
                  <c:v>7.8739999999999997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D6-4B36-9268-E41BD4516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32864"/>
        <c:axId val="276241600"/>
      </c:scatterChart>
      <c:valAx>
        <c:axId val="27623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241600"/>
        <c:crosses val="autoZero"/>
        <c:crossBetween val="midCat"/>
      </c:valAx>
      <c:valAx>
        <c:axId val="2762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layout>
            <c:manualLayout>
              <c:xMode val="edge"/>
              <c:yMode val="edge"/>
              <c:x val="1.6231884057971015E-2"/>
              <c:y val="0.20174621631240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23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637726805888395E-2"/>
          <c:y val="0.85933370256596253"/>
          <c:w val="0.8976810681273536"/>
          <c:h val="0.12121419127638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DO_min (B-10)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[1]Sheet1!$D$50:$D$54</c:f>
              <c:numCache>
                <c:formatCode>General</c:formatCode>
                <c:ptCount val="5"/>
                <c:pt idx="0">
                  <c:v>0</c:v>
                </c:pt>
                <c:pt idx="1">
                  <c:v>0.71699999999999997</c:v>
                </c:pt>
                <c:pt idx="2">
                  <c:v>3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[1]Sheet1!$E$50:$E$54</c:f>
              <c:numCache>
                <c:formatCode>General</c:formatCode>
                <c:ptCount val="5"/>
                <c:pt idx="0">
                  <c:v>7.3150000000000004</c:v>
                </c:pt>
                <c:pt idx="1">
                  <c:v>0.112</c:v>
                </c:pt>
                <c:pt idx="2">
                  <c:v>4.6219999999999999</c:v>
                </c:pt>
                <c:pt idx="3">
                  <c:v>6.8550000000000004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D4-4B12-94B8-79D2EDEA3961}"/>
            </c:ext>
          </c:extLst>
        </c:ser>
        <c:ser>
          <c:idx val="1"/>
          <c:order val="1"/>
          <c:tx>
            <c:v>DO_mod (B-11)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[1]Sheet1!$D$55:$D$59</c:f>
              <c:numCache>
                <c:formatCode>General</c:formatCode>
                <c:ptCount val="5"/>
                <c:pt idx="0">
                  <c:v>0</c:v>
                </c:pt>
                <c:pt idx="1">
                  <c:v>0.59199999999999997</c:v>
                </c:pt>
                <c:pt idx="2">
                  <c:v>3</c:v>
                </c:pt>
                <c:pt idx="3">
                  <c:v>7</c:v>
                </c:pt>
                <c:pt idx="4">
                  <c:v>26</c:v>
                </c:pt>
              </c:numCache>
            </c:numRef>
          </c:xVal>
          <c:yVal>
            <c:numRef>
              <c:f>[1]Sheet1!$E$55:$E$59</c:f>
              <c:numCache>
                <c:formatCode>General</c:formatCode>
                <c:ptCount val="5"/>
                <c:pt idx="0">
                  <c:v>6.7549999999999999</c:v>
                </c:pt>
                <c:pt idx="1">
                  <c:v>0.871</c:v>
                </c:pt>
                <c:pt idx="2">
                  <c:v>5.0789999999999997</c:v>
                </c:pt>
                <c:pt idx="3">
                  <c:v>7.2889999999999997</c:v>
                </c:pt>
                <c:pt idx="4">
                  <c:v>7.915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D4-4B12-94B8-79D2EDEA3961}"/>
            </c:ext>
          </c:extLst>
        </c:ser>
        <c:ser>
          <c:idx val="2"/>
          <c:order val="2"/>
          <c:tx>
            <c:v>DO_mod (B-13)</c:v>
          </c:tx>
          <c:spPr>
            <a:ln w="19050" cap="rnd">
              <a:solidFill>
                <a:srgbClr val="70AD4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</a:ln>
              <a:effectLst/>
            </c:spPr>
          </c:marker>
          <c:xVal>
            <c:numRef>
              <c:f>[1]Sheet1!$D$65:$D$69</c:f>
              <c:numCache>
                <c:formatCode>General</c:formatCode>
                <c:ptCount val="5"/>
                <c:pt idx="0">
                  <c:v>0</c:v>
                </c:pt>
                <c:pt idx="1">
                  <c:v>0.54300000000000004</c:v>
                </c:pt>
                <c:pt idx="2">
                  <c:v>2.5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[1]Sheet1!$E$65:$E$69</c:f>
              <c:numCache>
                <c:formatCode>General</c:formatCode>
                <c:ptCount val="5"/>
                <c:pt idx="0">
                  <c:v>7.03</c:v>
                </c:pt>
                <c:pt idx="1">
                  <c:v>0.64400000000000002</c:v>
                </c:pt>
                <c:pt idx="2">
                  <c:v>4.4379999999999997</c:v>
                </c:pt>
                <c:pt idx="3">
                  <c:v>6.9889999999999999</c:v>
                </c:pt>
                <c:pt idx="4">
                  <c:v>7.9249999999999998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D4-4B12-94B8-79D2EDEA3961}"/>
            </c:ext>
          </c:extLst>
        </c:ser>
        <c:ser>
          <c:idx val="3"/>
          <c:order val="3"/>
          <c:tx>
            <c:v>DO_max (B-16)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[1]Sheet1!$D$80:$D$84</c:f>
              <c:numCache>
                <c:formatCode>General</c:formatCode>
                <c:ptCount val="5"/>
                <c:pt idx="0">
                  <c:v>0</c:v>
                </c:pt>
                <c:pt idx="1">
                  <c:v>0.79</c:v>
                </c:pt>
                <c:pt idx="2">
                  <c:v>3</c:v>
                </c:pt>
                <c:pt idx="3">
                  <c:v>7</c:v>
                </c:pt>
                <c:pt idx="4">
                  <c:v>26</c:v>
                </c:pt>
              </c:numCache>
            </c:numRef>
          </c:xVal>
          <c:yVal>
            <c:numRef>
              <c:f>[1]Sheet1!$E$80:$E$84</c:f>
              <c:numCache>
                <c:formatCode>General</c:formatCode>
                <c:ptCount val="5"/>
                <c:pt idx="0">
                  <c:v>7.0439999999999996</c:v>
                </c:pt>
                <c:pt idx="1">
                  <c:v>0.20300000000000001</c:v>
                </c:pt>
                <c:pt idx="2">
                  <c:v>4.6020000000000003</c:v>
                </c:pt>
                <c:pt idx="3">
                  <c:v>7.1669999999999998</c:v>
                </c:pt>
                <c:pt idx="4">
                  <c:v>7.8639999999999999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D4-4B12-94B8-79D2EDEA3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32864"/>
        <c:axId val="276241600"/>
      </c:scatterChart>
      <c:valAx>
        <c:axId val="27623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241600"/>
        <c:crosses val="autoZero"/>
        <c:crossBetween val="midCat"/>
      </c:valAx>
      <c:valAx>
        <c:axId val="2762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layout>
            <c:manualLayout>
              <c:xMode val="edge"/>
              <c:yMode val="edge"/>
              <c:x val="1.6231884057971015E-2"/>
              <c:y val="0.184157959107315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23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98596371105783E-2"/>
          <c:y val="0.85933370256596253"/>
          <c:w val="0.96492744493894789"/>
          <c:h val="0.12121419127638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DO_min (D-20)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[1]Sheet1!$D$100:$D$104</c:f>
              <c:numCache>
                <c:formatCode>General</c:formatCode>
                <c:ptCount val="5"/>
                <c:pt idx="0">
                  <c:v>0</c:v>
                </c:pt>
                <c:pt idx="1">
                  <c:v>0.61699999999999999</c:v>
                </c:pt>
                <c:pt idx="2">
                  <c:v>3.1</c:v>
                </c:pt>
                <c:pt idx="3">
                  <c:v>6.3</c:v>
                </c:pt>
                <c:pt idx="4">
                  <c:v>29</c:v>
                </c:pt>
              </c:numCache>
            </c:numRef>
          </c:xVal>
          <c:yVal>
            <c:numRef>
              <c:f>[1]Sheet1!$E$100:$E$104</c:f>
              <c:numCache>
                <c:formatCode>General</c:formatCode>
                <c:ptCount val="5"/>
                <c:pt idx="0">
                  <c:v>7.4450000000000003</c:v>
                </c:pt>
                <c:pt idx="1">
                  <c:v>0.31900000000000001</c:v>
                </c:pt>
                <c:pt idx="2">
                  <c:v>4.8360000000000003</c:v>
                </c:pt>
                <c:pt idx="3">
                  <c:v>7.0250000000000004</c:v>
                </c:pt>
                <c:pt idx="4">
                  <c:v>8.0749999999999993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92-428A-9517-EBB993808B54}"/>
            </c:ext>
          </c:extLst>
        </c:ser>
        <c:ser>
          <c:idx val="1"/>
          <c:order val="1"/>
          <c:tx>
            <c:v>DO_mod (D-25)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[1]Sheet1!$D$125:$D$129</c:f>
              <c:numCache>
                <c:formatCode>General</c:formatCode>
                <c:ptCount val="5"/>
                <c:pt idx="0">
                  <c:v>0</c:v>
                </c:pt>
                <c:pt idx="1">
                  <c:v>-0.40300000000000002</c:v>
                </c:pt>
                <c:pt idx="2">
                  <c:v>3</c:v>
                </c:pt>
                <c:pt idx="3">
                  <c:v>5</c:v>
                </c:pt>
                <c:pt idx="4">
                  <c:v>24</c:v>
                </c:pt>
              </c:numCache>
            </c:numRef>
          </c:xVal>
          <c:yVal>
            <c:numRef>
              <c:f>[1]Sheet1!$E$125:$E$129</c:f>
              <c:numCache>
                <c:formatCode>General</c:formatCode>
                <c:ptCount val="5"/>
                <c:pt idx="0">
                  <c:v>4.0640000000000001</c:v>
                </c:pt>
                <c:pt idx="1">
                  <c:v>3.7709999999999999</c:v>
                </c:pt>
                <c:pt idx="2">
                  <c:v>6.7679999999999998</c:v>
                </c:pt>
                <c:pt idx="3">
                  <c:v>7.3689999999999998</c:v>
                </c:pt>
                <c:pt idx="4">
                  <c:v>7.8949999999999996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92-428A-9517-EBB993808B54}"/>
            </c:ext>
          </c:extLst>
        </c:ser>
        <c:ser>
          <c:idx val="2"/>
          <c:order val="2"/>
          <c:tx>
            <c:v>DO_mod (D-21)</c:v>
          </c:tx>
          <c:spPr>
            <a:ln w="19050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5A5A5"/>
              </a:solidFill>
              <a:ln w="9525">
                <a:solidFill>
                  <a:srgbClr val="A5A5A5"/>
                </a:solidFill>
              </a:ln>
              <a:effectLst/>
            </c:spPr>
          </c:marker>
          <c:xVal>
            <c:numRef>
              <c:f>[1]Sheet1!$D$105:$D$109</c:f>
              <c:numCache>
                <c:formatCode>General</c:formatCode>
                <c:ptCount val="5"/>
                <c:pt idx="0">
                  <c:v>0</c:v>
                </c:pt>
                <c:pt idx="1">
                  <c:v>0.46100000000000002</c:v>
                </c:pt>
                <c:pt idx="2">
                  <c:v>3</c:v>
                </c:pt>
                <c:pt idx="3">
                  <c:v>6.5</c:v>
                </c:pt>
                <c:pt idx="4">
                  <c:v>27</c:v>
                </c:pt>
              </c:numCache>
            </c:numRef>
          </c:xVal>
          <c:yVal>
            <c:numRef>
              <c:f>[1]Sheet1!$E$105:$E$109</c:f>
              <c:numCache>
                <c:formatCode>General</c:formatCode>
                <c:ptCount val="5"/>
                <c:pt idx="0">
                  <c:v>7.2050000000000001</c:v>
                </c:pt>
                <c:pt idx="1">
                  <c:v>0.55500000000000005</c:v>
                </c:pt>
                <c:pt idx="2">
                  <c:v>5.0789999999999997</c:v>
                </c:pt>
                <c:pt idx="3">
                  <c:v>7.1639999999999997</c:v>
                </c:pt>
                <c:pt idx="4">
                  <c:v>7.9359999999999999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92-428A-9517-EBB993808B54}"/>
            </c:ext>
          </c:extLst>
        </c:ser>
        <c:ser>
          <c:idx val="3"/>
          <c:order val="3"/>
          <c:tx>
            <c:v>DO_max (D-26)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[1]Sheet1!$D$130:$D$134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2</c:v>
                </c:pt>
                <c:pt idx="3">
                  <c:v>5</c:v>
                </c:pt>
                <c:pt idx="4">
                  <c:v>25</c:v>
                </c:pt>
              </c:numCache>
            </c:numRef>
          </c:xVal>
          <c:yVal>
            <c:numRef>
              <c:f>[1]Sheet1!$E$130:$E$134</c:f>
              <c:numCache>
                <c:formatCode>General</c:formatCode>
                <c:ptCount val="5"/>
                <c:pt idx="0">
                  <c:v>5.3739999999999997</c:v>
                </c:pt>
                <c:pt idx="1">
                  <c:v>2.431</c:v>
                </c:pt>
                <c:pt idx="2">
                  <c:v>5.1050000000000004</c:v>
                </c:pt>
                <c:pt idx="3">
                  <c:v>6.9939999999999998</c:v>
                </c:pt>
                <c:pt idx="4">
                  <c:v>7.8440000000000003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92-428A-9517-EBB993808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32864"/>
        <c:axId val="276241600"/>
      </c:scatterChart>
      <c:valAx>
        <c:axId val="27623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241600"/>
        <c:crosses val="autoZero"/>
        <c:crossBetween val="midCat"/>
      </c:valAx>
      <c:valAx>
        <c:axId val="2762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layout>
            <c:manualLayout>
              <c:xMode val="edge"/>
              <c:yMode val="edge"/>
              <c:x val="1.6231884057971015E-2"/>
              <c:y val="0.161989179449400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23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98596371105783E-2"/>
          <c:y val="0.85933370256596253"/>
          <c:w val="0.96956512609836809"/>
          <c:h val="0.12121419127638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DO_min (S-35)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[1]Sheet1!$D$175:$D$179</c:f>
              <c:numCache>
                <c:formatCode>General</c:formatCode>
                <c:ptCount val="5"/>
                <c:pt idx="0">
                  <c:v>0</c:v>
                </c:pt>
                <c:pt idx="1">
                  <c:v>0.7</c:v>
                </c:pt>
                <c:pt idx="2">
                  <c:v>3</c:v>
                </c:pt>
                <c:pt idx="3">
                  <c:v>6</c:v>
                </c:pt>
                <c:pt idx="4">
                  <c:v>28</c:v>
                </c:pt>
              </c:numCache>
            </c:numRef>
          </c:xVal>
          <c:yVal>
            <c:numRef>
              <c:f>[1]Sheet1!$E$175:$E$179</c:f>
              <c:numCache>
                <c:formatCode>General</c:formatCode>
                <c:ptCount val="5"/>
                <c:pt idx="0">
                  <c:v>7.6970000000000001</c:v>
                </c:pt>
                <c:pt idx="1">
                  <c:v>-0.18</c:v>
                </c:pt>
                <c:pt idx="2">
                  <c:v>4.4690000000000003</c:v>
                </c:pt>
                <c:pt idx="3">
                  <c:v>6.81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1A-441D-AD64-D32B58650B41}"/>
            </c:ext>
          </c:extLst>
        </c:ser>
        <c:ser>
          <c:idx val="1"/>
          <c:order val="1"/>
          <c:tx>
            <c:v>DO_mod (S-27)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[1]Sheet1!$D$135:$D$139</c:f>
              <c:numCache>
                <c:formatCode>General</c:formatCode>
                <c:ptCount val="5"/>
                <c:pt idx="0">
                  <c:v>0</c:v>
                </c:pt>
                <c:pt idx="1">
                  <c:v>0.189</c:v>
                </c:pt>
                <c:pt idx="2">
                  <c:v>2.5</c:v>
                </c:pt>
                <c:pt idx="3">
                  <c:v>4</c:v>
                </c:pt>
                <c:pt idx="4">
                  <c:v>23</c:v>
                </c:pt>
              </c:numCache>
            </c:numRef>
          </c:xVal>
          <c:yVal>
            <c:numRef>
              <c:f>[1]Sheet1!$E$135:$E$139</c:f>
              <c:numCache>
                <c:formatCode>General</c:formatCode>
                <c:ptCount val="5"/>
                <c:pt idx="0">
                  <c:v>3.4550000000000001</c:v>
                </c:pt>
                <c:pt idx="1">
                  <c:v>4.2850000000000001</c:v>
                </c:pt>
                <c:pt idx="2">
                  <c:v>6.3979999999999997</c:v>
                </c:pt>
                <c:pt idx="3">
                  <c:v>7.0179999999999998</c:v>
                </c:pt>
                <c:pt idx="4">
                  <c:v>7.7549999999999999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1A-441D-AD64-D32B58650B41}"/>
            </c:ext>
          </c:extLst>
        </c:ser>
        <c:ser>
          <c:idx val="2"/>
          <c:order val="2"/>
          <c:tx>
            <c:v>DO_mod (S-32)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[1]Sheet1!$D$160:$D$164</c:f>
              <c:numCache>
                <c:formatCode>General</c:formatCode>
                <c:ptCount val="5"/>
                <c:pt idx="0">
                  <c:v>0</c:v>
                </c:pt>
                <c:pt idx="1">
                  <c:v>1.1399999999999999</c:v>
                </c:pt>
                <c:pt idx="2">
                  <c:v>3</c:v>
                </c:pt>
                <c:pt idx="3">
                  <c:v>6</c:v>
                </c:pt>
                <c:pt idx="4">
                  <c:v>28</c:v>
                </c:pt>
              </c:numCache>
            </c:numRef>
          </c:xVal>
          <c:yVal>
            <c:numRef>
              <c:f>[1]Sheet1!$E$160:$E$164</c:f>
              <c:numCache>
                <c:formatCode>General</c:formatCode>
                <c:ptCount val="5"/>
                <c:pt idx="0">
                  <c:v>7.5469999999999997</c:v>
                </c:pt>
                <c:pt idx="1">
                  <c:v>-1.1060000000000001</c:v>
                </c:pt>
                <c:pt idx="2">
                  <c:v>3.3780000000000001</c:v>
                </c:pt>
                <c:pt idx="3">
                  <c:v>6.45</c:v>
                </c:pt>
                <c:pt idx="4">
                  <c:v>7.9880000000000004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1A-441D-AD64-D32B58650B41}"/>
            </c:ext>
          </c:extLst>
        </c:ser>
        <c:ser>
          <c:idx val="3"/>
          <c:order val="3"/>
          <c:tx>
            <c:v>DO_max (S-30)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[1]Sheet1!$D$150:$D$154</c:f>
              <c:numCache>
                <c:formatCode>General</c:formatCode>
                <c:ptCount val="5"/>
                <c:pt idx="0">
                  <c:v>0</c:v>
                </c:pt>
                <c:pt idx="1">
                  <c:v>0.25900000000000001</c:v>
                </c:pt>
                <c:pt idx="2">
                  <c:v>2.2000000000000002</c:v>
                </c:pt>
                <c:pt idx="3">
                  <c:v>6</c:v>
                </c:pt>
                <c:pt idx="4">
                  <c:v>27</c:v>
                </c:pt>
              </c:numCache>
            </c:numRef>
          </c:xVal>
          <c:yVal>
            <c:numRef>
              <c:f>[1]Sheet1!$E$150:$E$154</c:f>
              <c:numCache>
                <c:formatCode>General</c:formatCode>
                <c:ptCount val="5"/>
                <c:pt idx="0">
                  <c:v>6.7370000000000001</c:v>
                </c:pt>
                <c:pt idx="1">
                  <c:v>1.1930000000000001</c:v>
                </c:pt>
                <c:pt idx="2">
                  <c:v>4.649</c:v>
                </c:pt>
                <c:pt idx="3">
                  <c:v>7.1520000000000001</c:v>
                </c:pt>
                <c:pt idx="4">
                  <c:v>7.9770000000000003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1A-441D-AD64-D32B58650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32864"/>
        <c:axId val="276241600"/>
      </c:scatterChart>
      <c:valAx>
        <c:axId val="27623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241600"/>
        <c:crosses val="autoZero"/>
        <c:crossBetween val="midCat"/>
      </c:valAx>
      <c:valAx>
        <c:axId val="2762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 Concentration (mg/L)</a:t>
                </a:r>
              </a:p>
            </c:rich>
          </c:tx>
          <c:layout>
            <c:manualLayout>
              <c:xMode val="edge"/>
              <c:yMode val="edge"/>
              <c:x val="1.6231884057971015E-2"/>
              <c:y val="0.15801632623694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23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956567385598539E-2"/>
          <c:y val="0.86711454502902197"/>
          <c:w val="0.89072454638822318"/>
          <c:h val="0.12121419127638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6696</xdr:colOff>
      <xdr:row>5</xdr:row>
      <xdr:rowOff>22168</xdr:rowOff>
    </xdr:from>
    <xdr:to>
      <xdr:col>12</xdr:col>
      <xdr:colOff>340706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62AAB-B237-49EC-8560-800ADB146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5888</xdr:colOff>
      <xdr:row>4</xdr:row>
      <xdr:rowOff>189807</xdr:rowOff>
    </xdr:from>
    <xdr:to>
      <xdr:col>19</xdr:col>
      <xdr:colOff>571500</xdr:colOff>
      <xdr:row>21</xdr:row>
      <xdr:rowOff>82895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E800C5-5D7B-4213-A8E9-92FCA788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111760</xdr:colOff>
      <xdr:row>5</xdr:row>
      <xdr:rowOff>0</xdr:rowOff>
    </xdr:from>
    <xdr:to>
      <xdr:col>26</xdr:col>
      <xdr:colOff>499110</xdr:colOff>
      <xdr:row>21</xdr:row>
      <xdr:rowOff>102292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ECE726-8C41-4E75-997C-4E5891AB8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22</xdr:row>
      <xdr:rowOff>106680</xdr:rowOff>
    </xdr:from>
    <xdr:to>
      <xdr:col>12</xdr:col>
      <xdr:colOff>334010</xdr:colOff>
      <xdr:row>39</xdr:row>
      <xdr:rowOff>31172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908AB9-A249-4BAB-9DD0-F6434AD65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7620</xdr:colOff>
      <xdr:row>22</xdr:row>
      <xdr:rowOff>60960</xdr:rowOff>
    </xdr:from>
    <xdr:to>
      <xdr:col>19</xdr:col>
      <xdr:colOff>417830</xdr:colOff>
      <xdr:row>38</xdr:row>
      <xdr:rowOff>175952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883CD6-D579-4AC1-9FF3-8F5293FB7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601980</xdr:colOff>
      <xdr:row>22</xdr:row>
      <xdr:rowOff>68580</xdr:rowOff>
    </xdr:from>
    <xdr:to>
      <xdr:col>26</xdr:col>
      <xdr:colOff>379730</xdr:colOff>
      <xdr:row>38</xdr:row>
      <xdr:rowOff>183572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399687-C115-40BD-B038-7F4A64E11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40</xdr:row>
      <xdr:rowOff>7620</xdr:rowOff>
    </xdr:from>
    <xdr:to>
      <xdr:col>12</xdr:col>
      <xdr:colOff>334010</xdr:colOff>
      <xdr:row>56</xdr:row>
      <xdr:rowOff>122612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5C581D-8F42-4CF2-9F8E-071DA899F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594360</xdr:colOff>
      <xdr:row>39</xdr:row>
      <xdr:rowOff>175260</xdr:rowOff>
    </xdr:from>
    <xdr:to>
      <xdr:col>19</xdr:col>
      <xdr:colOff>394970</xdr:colOff>
      <xdr:row>56</xdr:row>
      <xdr:rowOff>99752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88624D7-4349-4B7A-9FDA-014F69BBC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601980</xdr:colOff>
      <xdr:row>39</xdr:row>
      <xdr:rowOff>167640</xdr:rowOff>
    </xdr:from>
    <xdr:to>
      <xdr:col>26</xdr:col>
      <xdr:colOff>379730</xdr:colOff>
      <xdr:row>56</xdr:row>
      <xdr:rowOff>92132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CEB370-BD53-41DA-AA26-40C3DF14B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601980</xdr:colOff>
      <xdr:row>57</xdr:row>
      <xdr:rowOff>152400</xdr:rowOff>
    </xdr:from>
    <xdr:to>
      <xdr:col>12</xdr:col>
      <xdr:colOff>326390</xdr:colOff>
      <xdr:row>74</xdr:row>
      <xdr:rowOff>76892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26A9E4-B402-4942-A814-0CC45DC2B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601980</xdr:colOff>
      <xdr:row>57</xdr:row>
      <xdr:rowOff>175260</xdr:rowOff>
    </xdr:from>
    <xdr:to>
      <xdr:col>19</xdr:col>
      <xdr:colOff>402590</xdr:colOff>
      <xdr:row>74</xdr:row>
      <xdr:rowOff>99752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865EACF-9E71-4CA9-9D5E-943ECC9DB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7620</xdr:colOff>
      <xdr:row>57</xdr:row>
      <xdr:rowOff>182880</xdr:rowOff>
    </xdr:from>
    <xdr:to>
      <xdr:col>26</xdr:col>
      <xdr:colOff>394970</xdr:colOff>
      <xdr:row>74</xdr:row>
      <xdr:rowOff>107372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6A7D4C5-FED4-4080-BD3E-E14A31D0B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0</xdr:colOff>
      <xdr:row>75</xdr:row>
      <xdr:rowOff>30480</xdr:rowOff>
    </xdr:from>
    <xdr:to>
      <xdr:col>12</xdr:col>
      <xdr:colOff>334010</xdr:colOff>
      <xdr:row>91</xdr:row>
      <xdr:rowOff>145472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6D81491-5B3E-45E6-B36B-1445F56FB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76200</xdr:colOff>
      <xdr:row>75</xdr:row>
      <xdr:rowOff>22860</xdr:rowOff>
    </xdr:from>
    <xdr:to>
      <xdr:col>19</xdr:col>
      <xdr:colOff>486410</xdr:colOff>
      <xdr:row>91</xdr:row>
      <xdr:rowOff>137852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D4E062E-B3F4-4E7C-BD26-D3110D9AF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45720</xdr:colOff>
      <xdr:row>74</xdr:row>
      <xdr:rowOff>175260</xdr:rowOff>
    </xdr:from>
    <xdr:to>
      <xdr:col>26</xdr:col>
      <xdr:colOff>433070</xdr:colOff>
      <xdr:row>91</xdr:row>
      <xdr:rowOff>99752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018D3D0-935D-48C7-953F-18FEE05B7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0</xdr:colOff>
      <xdr:row>92</xdr:row>
      <xdr:rowOff>76200</xdr:rowOff>
    </xdr:from>
    <xdr:to>
      <xdr:col>12</xdr:col>
      <xdr:colOff>334010</xdr:colOff>
      <xdr:row>109</xdr:row>
      <xdr:rowOff>692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5E62D80-1867-4462-A4DB-F3ACEE7F2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60960</xdr:colOff>
      <xdr:row>92</xdr:row>
      <xdr:rowOff>91440</xdr:rowOff>
    </xdr:from>
    <xdr:to>
      <xdr:col>19</xdr:col>
      <xdr:colOff>471170</xdr:colOff>
      <xdr:row>109</xdr:row>
      <xdr:rowOff>15932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45E961F-5377-4D1D-BB00-CE8752761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22860</xdr:colOff>
      <xdr:row>92</xdr:row>
      <xdr:rowOff>121920</xdr:rowOff>
    </xdr:from>
    <xdr:to>
      <xdr:col>26</xdr:col>
      <xdr:colOff>410210</xdr:colOff>
      <xdr:row>109</xdr:row>
      <xdr:rowOff>46412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75E6536-2E9E-4988-99E9-D8DCB5749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7620</xdr:colOff>
      <xdr:row>110</xdr:row>
      <xdr:rowOff>0</xdr:rowOff>
    </xdr:from>
    <xdr:to>
      <xdr:col>12</xdr:col>
      <xdr:colOff>341630</xdr:colOff>
      <xdr:row>126</xdr:row>
      <xdr:rowOff>114992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67909C1-1D03-4319-A2D8-CE8028BDE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15240</xdr:colOff>
      <xdr:row>110</xdr:row>
      <xdr:rowOff>0</xdr:rowOff>
    </xdr:from>
    <xdr:to>
      <xdr:col>19</xdr:col>
      <xdr:colOff>425450</xdr:colOff>
      <xdr:row>126</xdr:row>
      <xdr:rowOff>114992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A67EBA5-EBEF-454E-8D33-6C7AFE9AC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7620</xdr:colOff>
      <xdr:row>110</xdr:row>
      <xdr:rowOff>7620</xdr:rowOff>
    </xdr:from>
    <xdr:to>
      <xdr:col>26</xdr:col>
      <xdr:colOff>394970</xdr:colOff>
      <xdr:row>126</xdr:row>
      <xdr:rowOff>122612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9ED0359-94C8-4F8E-A1D3-48E49003F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127</xdr:row>
      <xdr:rowOff>129540</xdr:rowOff>
    </xdr:from>
    <xdr:to>
      <xdr:col>12</xdr:col>
      <xdr:colOff>334010</xdr:colOff>
      <xdr:row>144</xdr:row>
      <xdr:rowOff>54032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92C8205-330B-42C2-B026-B0A8AB840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</xdr:col>
      <xdr:colOff>0</xdr:colOff>
      <xdr:row>127</xdr:row>
      <xdr:rowOff>129540</xdr:rowOff>
    </xdr:from>
    <xdr:to>
      <xdr:col>19</xdr:col>
      <xdr:colOff>410210</xdr:colOff>
      <xdr:row>144</xdr:row>
      <xdr:rowOff>54032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DBDA54F-FC06-4190-AB22-7D9F0636F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19</xdr:col>
      <xdr:colOff>601980</xdr:colOff>
      <xdr:row>127</xdr:row>
      <xdr:rowOff>144780</xdr:rowOff>
    </xdr:from>
    <xdr:to>
      <xdr:col>26</xdr:col>
      <xdr:colOff>379730</xdr:colOff>
      <xdr:row>144</xdr:row>
      <xdr:rowOff>69272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F6912E1-8458-49A4-BE9E-39F222A60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586740</xdr:colOff>
      <xdr:row>144</xdr:row>
      <xdr:rowOff>137160</xdr:rowOff>
    </xdr:from>
    <xdr:to>
      <xdr:col>12</xdr:col>
      <xdr:colOff>311150</xdr:colOff>
      <xdr:row>161</xdr:row>
      <xdr:rowOff>61652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D3CEE99-7416-430C-BA73-3C667C311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12</xdr:col>
      <xdr:colOff>533400</xdr:colOff>
      <xdr:row>144</xdr:row>
      <xdr:rowOff>167640</xdr:rowOff>
    </xdr:from>
    <xdr:to>
      <xdr:col>19</xdr:col>
      <xdr:colOff>334010</xdr:colOff>
      <xdr:row>161</xdr:row>
      <xdr:rowOff>92132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E89395D-7805-4827-A6D6-2030B21A0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20</xdr:col>
      <xdr:colOff>5715</xdr:colOff>
      <xdr:row>145</xdr:row>
      <xdr:rowOff>1905</xdr:rowOff>
    </xdr:from>
    <xdr:to>
      <xdr:col>26</xdr:col>
      <xdr:colOff>387350</xdr:colOff>
      <xdr:row>161</xdr:row>
      <xdr:rowOff>116897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2FCF3E7-E912-4221-8875-51A8B7674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571500</xdr:colOff>
      <xdr:row>161</xdr:row>
      <xdr:rowOff>133350</xdr:rowOff>
    </xdr:from>
    <xdr:to>
      <xdr:col>12</xdr:col>
      <xdr:colOff>301625</xdr:colOff>
      <xdr:row>178</xdr:row>
      <xdr:rowOff>57842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042185C-AC60-4A9E-B268-E128726F7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12</xdr:col>
      <xdr:colOff>523875</xdr:colOff>
      <xdr:row>161</xdr:row>
      <xdr:rowOff>180975</xdr:rowOff>
    </xdr:from>
    <xdr:to>
      <xdr:col>19</xdr:col>
      <xdr:colOff>320675</xdr:colOff>
      <xdr:row>178</xdr:row>
      <xdr:rowOff>105467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873B9BF-6353-4D50-BB76-3645FA3CA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9525</xdr:colOff>
      <xdr:row>161</xdr:row>
      <xdr:rowOff>180975</xdr:rowOff>
    </xdr:from>
    <xdr:to>
      <xdr:col>26</xdr:col>
      <xdr:colOff>396875</xdr:colOff>
      <xdr:row>178</xdr:row>
      <xdr:rowOff>105467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47D95E4-51FE-44E0-A065-7849FC149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571500</xdr:colOff>
      <xdr:row>178</xdr:row>
      <xdr:rowOff>152400</xdr:rowOff>
    </xdr:from>
    <xdr:to>
      <xdr:col>12</xdr:col>
      <xdr:colOff>301625</xdr:colOff>
      <xdr:row>195</xdr:row>
      <xdr:rowOff>95942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28ED3DA-D1A7-4BAE-95F2-E905DD1D2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12</xdr:col>
      <xdr:colOff>504825</xdr:colOff>
      <xdr:row>178</xdr:row>
      <xdr:rowOff>180975</xdr:rowOff>
    </xdr:from>
    <xdr:to>
      <xdr:col>19</xdr:col>
      <xdr:colOff>301625</xdr:colOff>
      <xdr:row>195</xdr:row>
      <xdr:rowOff>124517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AEAE89A-4657-4353-8C58-8347B3658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20</xdr:col>
      <xdr:colOff>38100</xdr:colOff>
      <xdr:row>179</xdr:row>
      <xdr:rowOff>28575</xdr:rowOff>
    </xdr:from>
    <xdr:to>
      <xdr:col>26</xdr:col>
      <xdr:colOff>425450</xdr:colOff>
      <xdr:row>195</xdr:row>
      <xdr:rowOff>162617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4335F6A-634C-418B-A68C-8D380C1C8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581025</xdr:colOff>
      <xdr:row>196</xdr:row>
      <xdr:rowOff>9525</xdr:rowOff>
    </xdr:from>
    <xdr:to>
      <xdr:col>12</xdr:col>
      <xdr:colOff>311150</xdr:colOff>
      <xdr:row>213</xdr:row>
      <xdr:rowOff>95942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7AED5BF-2F4B-4D27-A6CC-1741AE7D0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12</xdr:col>
      <xdr:colOff>485775</xdr:colOff>
      <xdr:row>196</xdr:row>
      <xdr:rowOff>0</xdr:rowOff>
    </xdr:from>
    <xdr:to>
      <xdr:col>19</xdr:col>
      <xdr:colOff>282575</xdr:colOff>
      <xdr:row>213</xdr:row>
      <xdr:rowOff>86417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61300F3A-FD4D-4682-BD02-D627516D2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20</xdr:col>
      <xdr:colOff>28575</xdr:colOff>
      <xdr:row>196</xdr:row>
      <xdr:rowOff>76200</xdr:rowOff>
    </xdr:from>
    <xdr:to>
      <xdr:col>26</xdr:col>
      <xdr:colOff>415925</xdr:colOff>
      <xdr:row>213</xdr:row>
      <xdr:rowOff>162617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7B81D21-DDAB-4F5E-8DFE-B2C27D58B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590550</xdr:colOff>
      <xdr:row>214</xdr:row>
      <xdr:rowOff>9525</xdr:rowOff>
    </xdr:from>
    <xdr:to>
      <xdr:col>12</xdr:col>
      <xdr:colOff>320675</xdr:colOff>
      <xdr:row>231</xdr:row>
      <xdr:rowOff>95942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8539F50-2799-4119-979B-D3592B21A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485775</xdr:colOff>
      <xdr:row>213</xdr:row>
      <xdr:rowOff>171450</xdr:rowOff>
    </xdr:from>
    <xdr:to>
      <xdr:col>19</xdr:col>
      <xdr:colOff>282575</xdr:colOff>
      <xdr:row>231</xdr:row>
      <xdr:rowOff>76892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66A7242A-10B9-481F-9C6A-AACF3FC4B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28</xdr:col>
      <xdr:colOff>9524</xdr:colOff>
      <xdr:row>5</xdr:row>
      <xdr:rowOff>14287</xdr:rowOff>
    </xdr:from>
    <xdr:to>
      <xdr:col>36</xdr:col>
      <xdr:colOff>609599</xdr:colOff>
      <xdr:row>21</xdr:row>
      <xdr:rowOff>171449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E3551021-FB1C-4AB3-8A7E-8717D89E4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28</xdr:col>
      <xdr:colOff>0</xdr:colOff>
      <xdr:row>23</xdr:row>
      <xdr:rowOff>186267</xdr:rowOff>
    </xdr:from>
    <xdr:to>
      <xdr:col>36</xdr:col>
      <xdr:colOff>600075</xdr:colOff>
      <xdr:row>40</xdr:row>
      <xdr:rowOff>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E2BE95F-96B5-4354-8E8A-94B42DFD3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28</xdr:col>
      <xdr:colOff>0</xdr:colOff>
      <xdr:row>43</xdr:row>
      <xdr:rowOff>0</xdr:rowOff>
    </xdr:from>
    <xdr:to>
      <xdr:col>36</xdr:col>
      <xdr:colOff>600075</xdr:colOff>
      <xdr:row>59</xdr:row>
      <xdr:rowOff>148695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15250680-8006-4482-8BD6-52470D9D9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28</xdr:col>
      <xdr:colOff>0</xdr:colOff>
      <xdr:row>62</xdr:row>
      <xdr:rowOff>0</xdr:rowOff>
    </xdr:from>
    <xdr:to>
      <xdr:col>36</xdr:col>
      <xdr:colOff>600075</xdr:colOff>
      <xdr:row>78</xdr:row>
      <xdr:rowOff>148695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7B236FD-5587-450F-B34D-5F5B60405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OneDrive\Desktop\Sag%20Curve%2038%20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C4" t="str">
            <v>DOsaturation (mg/L)</v>
          </cell>
        </row>
        <row r="5">
          <cell r="A5" t="str">
            <v>T-1</v>
          </cell>
          <cell r="C5">
            <v>7.9050000000000002</v>
          </cell>
          <cell r="D5">
            <v>0</v>
          </cell>
          <cell r="E5">
            <v>6.98</v>
          </cell>
          <cell r="W5">
            <v>0</v>
          </cell>
        </row>
        <row r="6">
          <cell r="C6">
            <v>7.9050000000000002</v>
          </cell>
          <cell r="D6">
            <v>0.51</v>
          </cell>
          <cell r="E6">
            <v>0.7</v>
          </cell>
          <cell r="W6">
            <v>2.5</v>
          </cell>
        </row>
        <row r="7">
          <cell r="C7">
            <v>7.9050000000000002</v>
          </cell>
          <cell r="D7">
            <v>3</v>
          </cell>
          <cell r="E7">
            <v>5.1050000000000004</v>
          </cell>
          <cell r="W7">
            <v>6</v>
          </cell>
        </row>
        <row r="8">
          <cell r="C8">
            <v>7.9050000000000002</v>
          </cell>
          <cell r="D8">
            <v>6</v>
          </cell>
          <cell r="E8">
            <v>7.0060000000000002</v>
          </cell>
          <cell r="W8">
            <v>30</v>
          </cell>
        </row>
        <row r="9">
          <cell r="C9">
            <v>7.9050000000000002</v>
          </cell>
          <cell r="D9">
            <v>26</v>
          </cell>
          <cell r="E9">
            <v>7.9039999999999999</v>
          </cell>
        </row>
        <row r="10">
          <cell r="A10" t="str">
            <v>T-2</v>
          </cell>
          <cell r="C10">
            <v>8.0950000000000006</v>
          </cell>
          <cell r="D10">
            <v>0</v>
          </cell>
          <cell r="E10">
            <v>6.7050000000000001</v>
          </cell>
        </row>
        <row r="11">
          <cell r="C11">
            <v>8.0950000000000006</v>
          </cell>
          <cell r="D11">
            <v>0.58899999999999997</v>
          </cell>
          <cell r="E11">
            <v>1.1419999999999999</v>
          </cell>
        </row>
        <row r="12">
          <cell r="C12">
            <v>8.0950000000000006</v>
          </cell>
          <cell r="D12">
            <v>3</v>
          </cell>
          <cell r="E12">
            <v>5.0970000000000004</v>
          </cell>
        </row>
        <row r="13">
          <cell r="C13">
            <v>8.0950000000000006</v>
          </cell>
          <cell r="D13">
            <v>5</v>
          </cell>
          <cell r="E13">
            <v>6.6029999999999998</v>
          </cell>
        </row>
        <row r="14">
          <cell r="C14">
            <v>8.0950000000000006</v>
          </cell>
          <cell r="D14">
            <v>28</v>
          </cell>
          <cell r="E14">
            <v>8.0945</v>
          </cell>
        </row>
        <row r="15">
          <cell r="A15" t="str">
            <v>T-3</v>
          </cell>
          <cell r="C15">
            <v>7.8940000000000001</v>
          </cell>
          <cell r="D15">
            <v>0</v>
          </cell>
          <cell r="E15">
            <v>6.43</v>
          </cell>
        </row>
        <row r="16">
          <cell r="C16">
            <v>7.8940000000000001</v>
          </cell>
          <cell r="D16">
            <v>0.36399999999999999</v>
          </cell>
          <cell r="E16">
            <v>1.3640000000000001</v>
          </cell>
        </row>
        <row r="17">
          <cell r="C17">
            <v>7.8940000000000001</v>
          </cell>
          <cell r="D17">
            <v>3</v>
          </cell>
          <cell r="E17">
            <v>5.5019999999999998</v>
          </cell>
        </row>
        <row r="18">
          <cell r="C18">
            <v>7.8940000000000001</v>
          </cell>
          <cell r="D18">
            <v>7</v>
          </cell>
          <cell r="E18">
            <v>7.3730000000000002</v>
          </cell>
        </row>
        <row r="19">
          <cell r="C19">
            <v>7.8940000000000001</v>
          </cell>
          <cell r="D19">
            <v>26</v>
          </cell>
          <cell r="E19">
            <v>7.8940000000000001</v>
          </cell>
        </row>
        <row r="20">
          <cell r="A20" t="str">
            <v>T-4</v>
          </cell>
          <cell r="C20">
            <v>7.8840000000000003</v>
          </cell>
          <cell r="D20">
            <v>0</v>
          </cell>
          <cell r="E20">
            <v>6.274</v>
          </cell>
        </row>
        <row r="21">
          <cell r="C21">
            <v>7.8840000000000003</v>
          </cell>
          <cell r="D21">
            <v>0.32700000000000001</v>
          </cell>
          <cell r="E21">
            <v>1.5349999999999999</v>
          </cell>
        </row>
        <row r="22">
          <cell r="C22">
            <v>7.8840000000000003</v>
          </cell>
          <cell r="D22">
            <v>3.1</v>
          </cell>
          <cell r="E22">
            <v>5.6849999999999996</v>
          </cell>
        </row>
        <row r="23">
          <cell r="C23">
            <v>7.8840000000000003</v>
          </cell>
          <cell r="D23">
            <v>6.5</v>
          </cell>
          <cell r="E23">
            <v>7.2859999999999996</v>
          </cell>
        </row>
        <row r="24">
          <cell r="C24">
            <v>7.8840000000000003</v>
          </cell>
          <cell r="D24">
            <v>26</v>
          </cell>
          <cell r="E24">
            <v>7.8840000000000003</v>
          </cell>
        </row>
        <row r="25">
          <cell r="A25" t="str">
            <v>T-5</v>
          </cell>
          <cell r="C25">
            <v>7.9050000000000002</v>
          </cell>
          <cell r="D25">
            <v>0</v>
          </cell>
          <cell r="E25">
            <v>6.3739999999999997</v>
          </cell>
        </row>
        <row r="26">
          <cell r="C26">
            <v>7.9050000000000002</v>
          </cell>
          <cell r="D26">
            <v>0.18</v>
          </cell>
          <cell r="E26">
            <v>1.508</v>
          </cell>
        </row>
        <row r="27">
          <cell r="C27">
            <v>7.9050000000000002</v>
          </cell>
          <cell r="D27">
            <v>2</v>
          </cell>
          <cell r="E27">
            <v>4.6970000000000001</v>
          </cell>
        </row>
        <row r="28">
          <cell r="C28">
            <v>7.9050000000000002</v>
          </cell>
          <cell r="D28">
            <v>5</v>
          </cell>
          <cell r="E28">
            <v>6.8760000000000003</v>
          </cell>
        </row>
        <row r="29">
          <cell r="C29">
            <v>7.9050000000000002</v>
          </cell>
          <cell r="D29">
            <v>27</v>
          </cell>
          <cell r="E29">
            <v>7.9050000000000002</v>
          </cell>
        </row>
        <row r="30">
          <cell r="A30" t="str">
            <v>T-6</v>
          </cell>
          <cell r="C30">
            <v>7.9359999999999999</v>
          </cell>
          <cell r="D30">
            <v>0</v>
          </cell>
          <cell r="E30">
            <v>6.2949999999999999</v>
          </cell>
        </row>
        <row r="31">
          <cell r="C31">
            <v>7.9359999999999999</v>
          </cell>
          <cell r="D31">
            <v>0.33500000000000002</v>
          </cell>
          <cell r="E31">
            <v>1.5629999999999999</v>
          </cell>
        </row>
        <row r="32">
          <cell r="C32">
            <v>7.9359999999999999</v>
          </cell>
          <cell r="D32">
            <v>3</v>
          </cell>
          <cell r="E32">
            <v>5.5839999999999996</v>
          </cell>
        </row>
        <row r="33">
          <cell r="C33">
            <v>7.9359999999999999</v>
          </cell>
          <cell r="D33">
            <v>5</v>
          </cell>
          <cell r="E33">
            <v>6.8230000000000004</v>
          </cell>
        </row>
        <row r="34">
          <cell r="C34">
            <v>7.9359999999999999</v>
          </cell>
          <cell r="D34">
            <v>26</v>
          </cell>
          <cell r="E34">
            <v>7.9359999999999999</v>
          </cell>
        </row>
        <row r="35">
          <cell r="A35" t="str">
            <v>T-7</v>
          </cell>
          <cell r="C35">
            <v>8.0299999999999994</v>
          </cell>
          <cell r="D35">
            <v>0</v>
          </cell>
          <cell r="E35">
            <v>7.13</v>
          </cell>
        </row>
        <row r="36">
          <cell r="C36">
            <v>8.0299999999999994</v>
          </cell>
          <cell r="D36">
            <v>0.32700000000000001</v>
          </cell>
          <cell r="E36">
            <v>0.82199999999999995</v>
          </cell>
        </row>
        <row r="37">
          <cell r="C37">
            <v>8.0299999999999994</v>
          </cell>
          <cell r="D37">
            <v>2</v>
          </cell>
          <cell r="E37">
            <v>4.0730000000000004</v>
          </cell>
        </row>
        <row r="38">
          <cell r="C38">
            <v>8.0299999999999994</v>
          </cell>
          <cell r="D38">
            <v>4.5</v>
          </cell>
          <cell r="E38">
            <v>6.4160000000000004</v>
          </cell>
        </row>
        <row r="39">
          <cell r="C39">
            <v>8.0299999999999994</v>
          </cell>
          <cell r="D39">
            <v>21</v>
          </cell>
          <cell r="E39">
            <v>8.0299999999999994</v>
          </cell>
        </row>
        <row r="40">
          <cell r="A40" t="str">
            <v>T-8</v>
          </cell>
          <cell r="C40">
            <v>7.8739999999999997</v>
          </cell>
          <cell r="D40">
            <v>0</v>
          </cell>
          <cell r="E40">
            <v>6.1639999999999997</v>
          </cell>
        </row>
        <row r="41">
          <cell r="C41">
            <v>7.8739999999999997</v>
          </cell>
          <cell r="D41">
            <v>-2.1000000000000001E-2</v>
          </cell>
          <cell r="E41">
            <v>1.7090000000000001</v>
          </cell>
        </row>
        <row r="42">
          <cell r="C42">
            <v>7.8739999999999997</v>
          </cell>
          <cell r="D42">
            <v>2.5</v>
          </cell>
          <cell r="E42">
            <v>5.5380000000000003</v>
          </cell>
        </row>
        <row r="43">
          <cell r="C43">
            <v>7.8739999999999997</v>
          </cell>
          <cell r="D43">
            <v>5</v>
          </cell>
          <cell r="E43">
            <v>6.9820000000000002</v>
          </cell>
        </row>
        <row r="44">
          <cell r="C44">
            <v>7.8739999999999997</v>
          </cell>
          <cell r="D44">
            <v>25</v>
          </cell>
          <cell r="E44">
            <v>7.8739999999999997</v>
          </cell>
        </row>
        <row r="45">
          <cell r="A45" t="str">
            <v>B-9</v>
          </cell>
          <cell r="C45">
            <v>7.8239999999999998</v>
          </cell>
          <cell r="D45">
            <v>0</v>
          </cell>
          <cell r="E45">
            <v>7.1139999999999999</v>
          </cell>
        </row>
        <row r="46">
          <cell r="C46">
            <v>7.8239999999999998</v>
          </cell>
          <cell r="D46">
            <v>0.75800000000000001</v>
          </cell>
          <cell r="E46">
            <v>0.126</v>
          </cell>
        </row>
        <row r="47">
          <cell r="C47">
            <v>7.8239999999999998</v>
          </cell>
          <cell r="D47">
            <v>3</v>
          </cell>
          <cell r="E47">
            <v>4.6390000000000002</v>
          </cell>
        </row>
        <row r="48">
          <cell r="C48">
            <v>7.8239999999999998</v>
          </cell>
          <cell r="D48">
            <v>6</v>
          </cell>
          <cell r="E48">
            <v>6.8470000000000004</v>
          </cell>
        </row>
        <row r="49">
          <cell r="C49">
            <v>7.8239999999999998</v>
          </cell>
          <cell r="D49">
            <v>26</v>
          </cell>
          <cell r="E49">
            <v>7.8239999999999998</v>
          </cell>
        </row>
        <row r="50">
          <cell r="A50" t="str">
            <v>B-10</v>
          </cell>
          <cell r="C50">
            <v>7.915</v>
          </cell>
          <cell r="D50">
            <v>0</v>
          </cell>
          <cell r="E50">
            <v>7.3150000000000004</v>
          </cell>
        </row>
        <row r="51">
          <cell r="C51">
            <v>7.915</v>
          </cell>
          <cell r="D51">
            <v>0.71699999999999997</v>
          </cell>
          <cell r="E51">
            <v>0.112</v>
          </cell>
        </row>
        <row r="52">
          <cell r="C52">
            <v>7.915</v>
          </cell>
          <cell r="D52">
            <v>3</v>
          </cell>
          <cell r="E52">
            <v>4.6219999999999999</v>
          </cell>
        </row>
        <row r="53">
          <cell r="C53">
            <v>7.915</v>
          </cell>
          <cell r="D53">
            <v>6</v>
          </cell>
          <cell r="E53">
            <v>6.8550000000000004</v>
          </cell>
        </row>
        <row r="54">
          <cell r="C54">
            <v>7.915</v>
          </cell>
          <cell r="D54">
            <v>27</v>
          </cell>
          <cell r="E54">
            <v>7.915</v>
          </cell>
        </row>
        <row r="55">
          <cell r="A55" t="str">
            <v>B-11</v>
          </cell>
          <cell r="C55">
            <v>7.915</v>
          </cell>
          <cell r="D55">
            <v>0</v>
          </cell>
          <cell r="E55">
            <v>6.7549999999999999</v>
          </cell>
        </row>
        <row r="56">
          <cell r="C56">
            <v>7.915</v>
          </cell>
          <cell r="D56">
            <v>0.59199999999999997</v>
          </cell>
          <cell r="E56">
            <v>0.871</v>
          </cell>
        </row>
        <row r="57">
          <cell r="C57">
            <v>7.915</v>
          </cell>
          <cell r="D57">
            <v>3</v>
          </cell>
          <cell r="E57">
            <v>5.0789999999999997</v>
          </cell>
        </row>
        <row r="58">
          <cell r="C58">
            <v>7.915</v>
          </cell>
          <cell r="D58">
            <v>7</v>
          </cell>
          <cell r="E58">
            <v>7.2889999999999997</v>
          </cell>
        </row>
        <row r="59">
          <cell r="C59">
            <v>7.915</v>
          </cell>
          <cell r="D59">
            <v>26</v>
          </cell>
          <cell r="E59">
            <v>7.915</v>
          </cell>
        </row>
        <row r="60">
          <cell r="A60" t="str">
            <v>B-12</v>
          </cell>
          <cell r="C60">
            <v>7.9249999999999998</v>
          </cell>
          <cell r="D60">
            <v>0</v>
          </cell>
          <cell r="E60">
            <v>6.875</v>
          </cell>
        </row>
        <row r="61">
          <cell r="C61">
            <v>7.9249999999999998</v>
          </cell>
          <cell r="D61">
            <v>0.56499999999999995</v>
          </cell>
          <cell r="E61">
            <v>0.78700000000000003</v>
          </cell>
        </row>
        <row r="62">
          <cell r="C62">
            <v>7.9249999999999998</v>
          </cell>
          <cell r="D62">
            <v>4</v>
          </cell>
          <cell r="E62">
            <v>5.9640000000000004</v>
          </cell>
        </row>
        <row r="63">
          <cell r="C63">
            <v>7.9249999999999998</v>
          </cell>
          <cell r="D63">
            <v>6</v>
          </cell>
          <cell r="E63">
            <v>7</v>
          </cell>
        </row>
        <row r="64">
          <cell r="C64">
            <v>7.9249999999999998</v>
          </cell>
          <cell r="D64">
            <v>27</v>
          </cell>
          <cell r="E64">
            <v>7.9249999999999998</v>
          </cell>
        </row>
        <row r="65">
          <cell r="A65" t="str">
            <v>B-13</v>
          </cell>
          <cell r="C65">
            <v>7.9249999999999998</v>
          </cell>
          <cell r="D65">
            <v>0</v>
          </cell>
          <cell r="E65">
            <v>7.03</v>
          </cell>
        </row>
        <row r="66">
          <cell r="C66">
            <v>7.9249999999999998</v>
          </cell>
          <cell r="D66">
            <v>0.54300000000000004</v>
          </cell>
          <cell r="E66">
            <v>0.64400000000000002</v>
          </cell>
        </row>
        <row r="67">
          <cell r="C67">
            <v>7.9249999999999998</v>
          </cell>
          <cell r="D67">
            <v>2.5</v>
          </cell>
          <cell r="E67">
            <v>4.4379999999999997</v>
          </cell>
        </row>
        <row r="68">
          <cell r="C68">
            <v>7.9249999999999998</v>
          </cell>
          <cell r="D68">
            <v>6</v>
          </cell>
          <cell r="E68">
            <v>6.9889999999999999</v>
          </cell>
        </row>
        <row r="69">
          <cell r="C69">
            <v>7.9249999999999998</v>
          </cell>
          <cell r="D69">
            <v>27</v>
          </cell>
          <cell r="E69">
            <v>7.9249999999999998</v>
          </cell>
        </row>
        <row r="70">
          <cell r="A70" t="str">
            <v>B-14</v>
          </cell>
          <cell r="C70">
            <v>7.915</v>
          </cell>
          <cell r="D70">
            <v>0</v>
          </cell>
          <cell r="E70">
            <v>6.7649999999999997</v>
          </cell>
        </row>
        <row r="71">
          <cell r="C71">
            <v>7.915</v>
          </cell>
          <cell r="D71">
            <v>0.58899999999999997</v>
          </cell>
          <cell r="E71">
            <v>0.86299999999999999</v>
          </cell>
        </row>
        <row r="72">
          <cell r="C72">
            <v>7.915</v>
          </cell>
          <cell r="D72">
            <v>4.5</v>
          </cell>
          <cell r="E72">
            <v>4.0839999999999996</v>
          </cell>
        </row>
        <row r="73">
          <cell r="C73">
            <v>7.915</v>
          </cell>
          <cell r="D73">
            <v>8</v>
          </cell>
          <cell r="E73">
            <v>6.8940000000000001</v>
          </cell>
        </row>
        <row r="74">
          <cell r="C74">
            <v>7.915</v>
          </cell>
          <cell r="D74">
            <v>29</v>
          </cell>
          <cell r="E74">
            <v>7.915</v>
          </cell>
        </row>
        <row r="75">
          <cell r="A75" t="str">
            <v>B-15</v>
          </cell>
          <cell r="C75">
            <v>7.9459999999999997</v>
          </cell>
          <cell r="D75">
            <v>0</v>
          </cell>
          <cell r="E75">
            <v>6.976</v>
          </cell>
        </row>
        <row r="76">
          <cell r="C76">
            <v>7.9459999999999997</v>
          </cell>
          <cell r="D76">
            <v>-0.16500000000000001</v>
          </cell>
          <cell r="E76">
            <v>0.95199999999999996</v>
          </cell>
        </row>
        <row r="77">
          <cell r="C77">
            <v>7.9459999999999997</v>
          </cell>
          <cell r="D77">
            <v>2</v>
          </cell>
          <cell r="E77">
            <v>4.8230000000000004</v>
          </cell>
        </row>
        <row r="78">
          <cell r="C78">
            <v>7.9459999999999997</v>
          </cell>
          <cell r="D78">
            <v>6</v>
          </cell>
          <cell r="E78">
            <v>7.2430000000000003</v>
          </cell>
        </row>
        <row r="79">
          <cell r="C79">
            <v>7.9459999999999997</v>
          </cell>
          <cell r="D79">
            <v>27</v>
          </cell>
          <cell r="E79">
            <v>7.9459999999999997</v>
          </cell>
        </row>
        <row r="80">
          <cell r="A80" t="str">
            <v>B-16</v>
          </cell>
          <cell r="C80">
            <v>7.8639999999999999</v>
          </cell>
          <cell r="D80">
            <v>0</v>
          </cell>
          <cell r="E80">
            <v>7.0439999999999996</v>
          </cell>
        </row>
        <row r="81">
          <cell r="C81">
            <v>7.8639999999999999</v>
          </cell>
          <cell r="D81">
            <v>0.79</v>
          </cell>
          <cell r="E81">
            <v>0.20300000000000001</v>
          </cell>
        </row>
        <row r="82">
          <cell r="C82">
            <v>7.8639999999999999</v>
          </cell>
          <cell r="D82">
            <v>3</v>
          </cell>
          <cell r="E82">
            <v>4.6020000000000003</v>
          </cell>
        </row>
        <row r="83">
          <cell r="C83">
            <v>7.8639999999999999</v>
          </cell>
          <cell r="D83">
            <v>7</v>
          </cell>
          <cell r="E83">
            <v>7.1669999999999998</v>
          </cell>
        </row>
        <row r="84">
          <cell r="C84">
            <v>7.8639999999999999</v>
          </cell>
          <cell r="D84">
            <v>26</v>
          </cell>
          <cell r="E84">
            <v>7.8639999999999999</v>
          </cell>
        </row>
        <row r="85">
          <cell r="A85" t="str">
            <v>B-17</v>
          </cell>
          <cell r="C85">
            <v>7.9459999999999997</v>
          </cell>
          <cell r="D85">
            <v>0</v>
          </cell>
          <cell r="E85">
            <v>6.9260000000000002</v>
          </cell>
        </row>
        <row r="86">
          <cell r="C86">
            <v>7.9459999999999997</v>
          </cell>
          <cell r="D86">
            <v>1.0089999999999999</v>
          </cell>
          <cell r="E86">
            <v>-3.2000000000000001E-2</v>
          </cell>
        </row>
        <row r="87">
          <cell r="C87">
            <v>7.9459999999999997</v>
          </cell>
          <cell r="D87">
            <v>3.2</v>
          </cell>
          <cell r="E87">
            <v>4.4180000000000001</v>
          </cell>
        </row>
        <row r="88">
          <cell r="C88">
            <v>7.9459999999999997</v>
          </cell>
          <cell r="D88">
            <v>6</v>
          </cell>
          <cell r="E88">
            <v>6.7039999999999997</v>
          </cell>
        </row>
        <row r="89">
          <cell r="C89">
            <v>7.9459999999999997</v>
          </cell>
          <cell r="D89">
            <v>28</v>
          </cell>
          <cell r="E89">
            <v>7.9459999999999997</v>
          </cell>
        </row>
        <row r="90">
          <cell r="A90" t="str">
            <v>B-18</v>
          </cell>
          <cell r="C90">
            <v>8.02</v>
          </cell>
          <cell r="D90">
            <v>0</v>
          </cell>
          <cell r="E90">
            <v>7.1189999999999998</v>
          </cell>
        </row>
        <row r="91">
          <cell r="C91">
            <v>8.02</v>
          </cell>
          <cell r="D91">
            <v>0.28599999999999998</v>
          </cell>
          <cell r="E91">
            <v>0.84099999999999997</v>
          </cell>
        </row>
        <row r="92">
          <cell r="C92">
            <v>8.02</v>
          </cell>
          <cell r="D92">
            <v>2.5</v>
          </cell>
          <cell r="E92">
            <v>4.7919999999999998</v>
          </cell>
        </row>
        <row r="93">
          <cell r="C93">
            <v>8.02</v>
          </cell>
          <cell r="D93">
            <v>5</v>
          </cell>
          <cell r="E93">
            <v>6.7110000000000003</v>
          </cell>
        </row>
        <row r="94">
          <cell r="C94">
            <v>8.02</v>
          </cell>
          <cell r="D94">
            <v>21</v>
          </cell>
          <cell r="E94">
            <v>8.02</v>
          </cell>
        </row>
        <row r="95">
          <cell r="A95" t="str">
            <v>D-19</v>
          </cell>
          <cell r="C95">
            <v>8.0090000000000003</v>
          </cell>
          <cell r="D95">
            <v>0</v>
          </cell>
          <cell r="E95">
            <v>7.2679999999999998</v>
          </cell>
        </row>
        <row r="96">
          <cell r="C96">
            <v>8.0090000000000003</v>
          </cell>
          <cell r="D96">
            <v>0.52800000000000002</v>
          </cell>
          <cell r="E96">
            <v>0.51500000000000001</v>
          </cell>
        </row>
        <row r="97">
          <cell r="C97">
            <v>8.0090000000000003</v>
          </cell>
          <cell r="D97">
            <v>3</v>
          </cell>
          <cell r="E97">
            <v>4.9489999999999998</v>
          </cell>
        </row>
        <row r="98">
          <cell r="C98">
            <v>8.0090000000000003</v>
          </cell>
          <cell r="D98">
            <v>6</v>
          </cell>
          <cell r="E98">
            <v>6.976</v>
          </cell>
        </row>
        <row r="99">
          <cell r="C99">
            <v>8.0090000000000003</v>
          </cell>
          <cell r="D99">
            <v>28</v>
          </cell>
          <cell r="E99">
            <v>8.0090000000000003</v>
          </cell>
        </row>
        <row r="100">
          <cell r="A100" t="str">
            <v>D-20</v>
          </cell>
          <cell r="C100">
            <v>8.0749999999999993</v>
          </cell>
          <cell r="D100">
            <v>0</v>
          </cell>
          <cell r="E100">
            <v>7.4450000000000003</v>
          </cell>
        </row>
        <row r="101">
          <cell r="C101">
            <v>8.0749999999999993</v>
          </cell>
          <cell r="D101">
            <v>0.61699999999999999</v>
          </cell>
          <cell r="E101">
            <v>0.31900000000000001</v>
          </cell>
        </row>
        <row r="102">
          <cell r="C102">
            <v>8.0749999999999993</v>
          </cell>
          <cell r="D102">
            <v>3.1</v>
          </cell>
          <cell r="E102">
            <v>4.8360000000000003</v>
          </cell>
        </row>
        <row r="103">
          <cell r="C103">
            <v>8.0749999999999993</v>
          </cell>
          <cell r="D103">
            <v>6.3</v>
          </cell>
          <cell r="E103">
            <v>7.0250000000000004</v>
          </cell>
        </row>
        <row r="104">
          <cell r="C104">
            <v>8.0749999999999993</v>
          </cell>
          <cell r="D104">
            <v>29</v>
          </cell>
          <cell r="E104">
            <v>8.0749999999999993</v>
          </cell>
        </row>
        <row r="105">
          <cell r="A105" t="str">
            <v>D-21</v>
          </cell>
          <cell r="C105">
            <v>7.9359999999999999</v>
          </cell>
          <cell r="D105">
            <v>0</v>
          </cell>
          <cell r="E105">
            <v>7.2050000000000001</v>
          </cell>
        </row>
        <row r="106">
          <cell r="C106">
            <v>7.9359999999999999</v>
          </cell>
          <cell r="D106">
            <v>0.46100000000000002</v>
          </cell>
          <cell r="E106">
            <v>0.55500000000000005</v>
          </cell>
        </row>
        <row r="107">
          <cell r="C107">
            <v>7.9359999999999999</v>
          </cell>
          <cell r="D107">
            <v>3</v>
          </cell>
          <cell r="E107">
            <v>5.0789999999999997</v>
          </cell>
        </row>
        <row r="108">
          <cell r="C108">
            <v>7.9359999999999999</v>
          </cell>
          <cell r="D108">
            <v>6.5</v>
          </cell>
          <cell r="E108">
            <v>7.1639999999999997</v>
          </cell>
        </row>
        <row r="109">
          <cell r="C109">
            <v>7.9359999999999999</v>
          </cell>
          <cell r="D109">
            <v>27</v>
          </cell>
          <cell r="E109">
            <v>7.9359999999999999</v>
          </cell>
        </row>
        <row r="110">
          <cell r="A110" t="str">
            <v>D-22</v>
          </cell>
          <cell r="C110">
            <v>7.8739999999999997</v>
          </cell>
          <cell r="D110">
            <v>0</v>
          </cell>
          <cell r="E110">
            <v>5.6239999999999997</v>
          </cell>
        </row>
        <row r="111">
          <cell r="C111">
            <v>7.8739999999999997</v>
          </cell>
          <cell r="D111">
            <v>-0.32600000000000001</v>
          </cell>
          <cell r="E111">
            <v>1.194</v>
          </cell>
        </row>
        <row r="112">
          <cell r="C112">
            <v>7.8739999999999997</v>
          </cell>
          <cell r="D112">
            <v>2.5</v>
          </cell>
          <cell r="E112">
            <v>5.96</v>
          </cell>
        </row>
        <row r="113">
          <cell r="C113">
            <v>7.8739999999999997</v>
          </cell>
          <cell r="D113">
            <v>6</v>
          </cell>
          <cell r="E113">
            <v>7.3769999999999998</v>
          </cell>
        </row>
        <row r="114">
          <cell r="C114">
            <v>7.8739999999999997</v>
          </cell>
          <cell r="D114">
            <v>24</v>
          </cell>
          <cell r="E114">
            <v>7.8739999999999997</v>
          </cell>
        </row>
        <row r="115">
          <cell r="A115" t="str">
            <v>D-23</v>
          </cell>
          <cell r="C115">
            <v>7.9669999999999996</v>
          </cell>
          <cell r="D115">
            <v>0</v>
          </cell>
          <cell r="E115">
            <v>6.0259999999999998</v>
          </cell>
        </row>
        <row r="116">
          <cell r="C116">
            <v>7.9669999999999996</v>
          </cell>
          <cell r="D116">
            <v>-0.26700000000000002</v>
          </cell>
          <cell r="E116">
            <v>1.9019999999999999</v>
          </cell>
        </row>
        <row r="117">
          <cell r="C117">
            <v>7.9669999999999996</v>
          </cell>
          <cell r="D117">
            <v>2</v>
          </cell>
          <cell r="E117">
            <v>5.343</v>
          </cell>
        </row>
        <row r="118">
          <cell r="C118">
            <v>7.9669999999999996</v>
          </cell>
          <cell r="D118">
            <v>5</v>
          </cell>
          <cell r="E118">
            <v>7.0990000000000002</v>
          </cell>
        </row>
        <row r="119">
          <cell r="C119">
            <v>7.9669999999999996</v>
          </cell>
          <cell r="D119">
            <v>26</v>
          </cell>
          <cell r="E119">
            <v>7.9669999999999996</v>
          </cell>
        </row>
        <row r="120">
          <cell r="A120" t="str">
            <v>D-24</v>
          </cell>
          <cell r="C120">
            <v>7.915</v>
          </cell>
          <cell r="D120">
            <v>0</v>
          </cell>
          <cell r="E120">
            <v>5.9249999999999998</v>
          </cell>
        </row>
        <row r="121">
          <cell r="C121">
            <v>7.915</v>
          </cell>
          <cell r="D121">
            <v>0.15</v>
          </cell>
          <cell r="E121">
            <v>1.976</v>
          </cell>
        </row>
        <row r="122">
          <cell r="C122">
            <v>7.915</v>
          </cell>
          <cell r="D122">
            <v>1.7</v>
          </cell>
          <cell r="E122">
            <v>4.6070000000000002</v>
          </cell>
        </row>
        <row r="123">
          <cell r="C123">
            <v>7.915</v>
          </cell>
          <cell r="D123">
            <v>4</v>
          </cell>
          <cell r="E123">
            <v>6.5279999999999996</v>
          </cell>
        </row>
        <row r="124">
          <cell r="C124">
            <v>7.915</v>
          </cell>
          <cell r="D124">
            <v>25</v>
          </cell>
          <cell r="E124">
            <v>7.915</v>
          </cell>
        </row>
        <row r="125">
          <cell r="A125" t="str">
            <v>D-25</v>
          </cell>
          <cell r="C125">
            <v>7.8949999999999996</v>
          </cell>
          <cell r="D125">
            <v>0</v>
          </cell>
          <cell r="E125">
            <v>4.0640000000000001</v>
          </cell>
        </row>
        <row r="126">
          <cell r="C126">
            <v>7.8949999999999996</v>
          </cell>
          <cell r="D126">
            <v>-0.40300000000000002</v>
          </cell>
          <cell r="E126">
            <v>3.7709999999999999</v>
          </cell>
        </row>
        <row r="127">
          <cell r="C127">
            <v>7.8949999999999996</v>
          </cell>
          <cell r="D127">
            <v>3</v>
          </cell>
          <cell r="E127">
            <v>6.7679999999999998</v>
          </cell>
        </row>
        <row r="128">
          <cell r="C128">
            <v>7.8949999999999996</v>
          </cell>
          <cell r="D128">
            <v>5</v>
          </cell>
          <cell r="E128">
            <v>7.3689999999999998</v>
          </cell>
        </row>
        <row r="129">
          <cell r="C129">
            <v>7.8949999999999996</v>
          </cell>
          <cell r="D129">
            <v>24</v>
          </cell>
          <cell r="E129">
            <v>7.8949999999999996</v>
          </cell>
        </row>
        <row r="130">
          <cell r="A130" t="str">
            <v>D-26</v>
          </cell>
          <cell r="C130">
            <v>7.8440000000000003</v>
          </cell>
          <cell r="D130">
            <v>0</v>
          </cell>
          <cell r="E130">
            <v>5.3739999999999997</v>
          </cell>
        </row>
        <row r="131">
          <cell r="C131">
            <v>7.8440000000000003</v>
          </cell>
          <cell r="D131">
            <v>0.25</v>
          </cell>
          <cell r="E131">
            <v>2.431</v>
          </cell>
        </row>
        <row r="132">
          <cell r="C132">
            <v>7.8440000000000003</v>
          </cell>
          <cell r="D132">
            <v>2</v>
          </cell>
          <cell r="E132">
            <v>5.1050000000000004</v>
          </cell>
        </row>
        <row r="133">
          <cell r="C133">
            <v>7.8440000000000003</v>
          </cell>
          <cell r="D133">
            <v>5</v>
          </cell>
          <cell r="E133">
            <v>6.9939999999999998</v>
          </cell>
        </row>
        <row r="134">
          <cell r="C134">
            <v>7.8440000000000003</v>
          </cell>
          <cell r="D134">
            <v>25</v>
          </cell>
          <cell r="E134">
            <v>7.8440000000000003</v>
          </cell>
        </row>
        <row r="135">
          <cell r="A135" t="str">
            <v>S-27</v>
          </cell>
          <cell r="C135">
            <v>7.7549999999999999</v>
          </cell>
          <cell r="D135">
            <v>0</v>
          </cell>
          <cell r="E135">
            <v>3.4550000000000001</v>
          </cell>
        </row>
        <row r="136">
          <cell r="C136">
            <v>7.7549999999999999</v>
          </cell>
          <cell r="D136">
            <v>0.189</v>
          </cell>
          <cell r="E136">
            <v>4.2850000000000001</v>
          </cell>
        </row>
        <row r="137">
          <cell r="C137">
            <v>7.7549999999999999</v>
          </cell>
          <cell r="D137">
            <v>2.5</v>
          </cell>
          <cell r="E137">
            <v>6.3979999999999997</v>
          </cell>
        </row>
        <row r="138">
          <cell r="C138">
            <v>7.7549999999999999</v>
          </cell>
          <cell r="D138">
            <v>4</v>
          </cell>
          <cell r="E138">
            <v>7.0179999999999998</v>
          </cell>
        </row>
        <row r="139">
          <cell r="C139">
            <v>7.7549999999999999</v>
          </cell>
          <cell r="D139">
            <v>23</v>
          </cell>
          <cell r="E139">
            <v>7.7549999999999999</v>
          </cell>
        </row>
        <row r="140">
          <cell r="A140" t="str">
            <v>S-28</v>
          </cell>
          <cell r="C140">
            <v>7.9880000000000004</v>
          </cell>
          <cell r="D140">
            <v>0</v>
          </cell>
          <cell r="E140">
            <v>6.2569999999999997</v>
          </cell>
        </row>
        <row r="141">
          <cell r="C141">
            <v>7.9880000000000004</v>
          </cell>
          <cell r="D141">
            <v>-0.15</v>
          </cell>
          <cell r="E141">
            <v>1.7150000000000001</v>
          </cell>
        </row>
        <row r="142">
          <cell r="C142">
            <v>7.9880000000000004</v>
          </cell>
          <cell r="D142">
            <v>3</v>
          </cell>
          <cell r="E142">
            <v>6.0119999999999996</v>
          </cell>
        </row>
        <row r="143">
          <cell r="C143">
            <v>7.9880000000000004</v>
          </cell>
          <cell r="D143">
            <v>6</v>
          </cell>
          <cell r="E143">
            <v>7.3289999999999997</v>
          </cell>
        </row>
        <row r="144">
          <cell r="C144">
            <v>7.9880000000000004</v>
          </cell>
          <cell r="D144">
            <v>26</v>
          </cell>
          <cell r="E144">
            <v>7.9880000000000004</v>
          </cell>
        </row>
        <row r="145">
          <cell r="A145" t="str">
            <v>S-29</v>
          </cell>
          <cell r="C145">
            <v>7.9770000000000003</v>
          </cell>
          <cell r="D145">
            <v>0</v>
          </cell>
          <cell r="E145">
            <v>6.8869999999999996</v>
          </cell>
        </row>
        <row r="146">
          <cell r="C146">
            <v>7.9770000000000003</v>
          </cell>
          <cell r="D146">
            <v>0.43</v>
          </cell>
          <cell r="E146">
            <v>0.95</v>
          </cell>
        </row>
        <row r="147">
          <cell r="C147">
            <v>7.9770000000000003</v>
          </cell>
          <cell r="D147">
            <v>2</v>
          </cell>
          <cell r="E147">
            <v>4.6870000000000003</v>
          </cell>
        </row>
        <row r="148">
          <cell r="C148">
            <v>7.9770000000000003</v>
          </cell>
          <cell r="D148">
            <v>5</v>
          </cell>
          <cell r="E148">
            <v>6.6630000000000003</v>
          </cell>
        </row>
        <row r="149">
          <cell r="C149">
            <v>7.9770000000000003</v>
          </cell>
          <cell r="D149">
            <v>27</v>
          </cell>
          <cell r="E149">
            <v>7.9770000000000003</v>
          </cell>
        </row>
        <row r="150">
          <cell r="A150" t="str">
            <v>S-30</v>
          </cell>
          <cell r="C150">
            <v>7.9770000000000003</v>
          </cell>
          <cell r="D150">
            <v>0</v>
          </cell>
          <cell r="E150">
            <v>6.7370000000000001</v>
          </cell>
        </row>
        <row r="151">
          <cell r="C151">
            <v>7.9770000000000003</v>
          </cell>
          <cell r="D151">
            <v>0.25900000000000001</v>
          </cell>
          <cell r="E151">
            <v>1.1930000000000001</v>
          </cell>
        </row>
        <row r="152">
          <cell r="C152">
            <v>7.9770000000000003</v>
          </cell>
          <cell r="D152">
            <v>2.2000000000000002</v>
          </cell>
          <cell r="E152">
            <v>4.649</v>
          </cell>
        </row>
        <row r="153">
          <cell r="C153">
            <v>7.9770000000000003</v>
          </cell>
          <cell r="D153">
            <v>6</v>
          </cell>
          <cell r="E153">
            <v>7.1520000000000001</v>
          </cell>
        </row>
        <row r="154">
          <cell r="C154">
            <v>7.9770000000000003</v>
          </cell>
          <cell r="D154">
            <v>27</v>
          </cell>
          <cell r="E154">
            <v>7.9770000000000003</v>
          </cell>
        </row>
        <row r="155">
          <cell r="A155" t="str">
            <v>S-31</v>
          </cell>
          <cell r="C155">
            <v>7.9770000000000003</v>
          </cell>
          <cell r="D155">
            <v>0</v>
          </cell>
          <cell r="E155">
            <v>7.4870000000000001</v>
          </cell>
        </row>
        <row r="156">
          <cell r="C156">
            <v>7.9770000000000003</v>
          </cell>
          <cell r="D156">
            <v>0.52200000000000002</v>
          </cell>
          <cell r="E156">
            <v>0.25900000000000001</v>
          </cell>
        </row>
        <row r="157">
          <cell r="C157">
            <v>7.9770000000000003</v>
          </cell>
          <cell r="D157">
            <v>2.5</v>
          </cell>
          <cell r="E157">
            <v>4.242</v>
          </cell>
        </row>
        <row r="158">
          <cell r="C158">
            <v>7.9770000000000003</v>
          </cell>
          <cell r="D158">
            <v>5.5</v>
          </cell>
          <cell r="E158">
            <v>6.7350000000000003</v>
          </cell>
        </row>
        <row r="159">
          <cell r="C159">
            <v>7.9770000000000003</v>
          </cell>
          <cell r="D159">
            <v>27</v>
          </cell>
          <cell r="E159">
            <v>7.9770000000000003</v>
          </cell>
        </row>
        <row r="160">
          <cell r="A160" t="str">
            <v>S-32</v>
          </cell>
          <cell r="C160">
            <v>7.9880000000000004</v>
          </cell>
          <cell r="D160">
            <v>0</v>
          </cell>
          <cell r="E160">
            <v>7.5469999999999997</v>
          </cell>
        </row>
        <row r="161">
          <cell r="C161">
            <v>7.9880000000000004</v>
          </cell>
          <cell r="D161">
            <v>1.1399999999999999</v>
          </cell>
          <cell r="E161">
            <v>-1.1060000000000001</v>
          </cell>
        </row>
        <row r="162">
          <cell r="C162">
            <v>7.9880000000000004</v>
          </cell>
          <cell r="D162">
            <v>3</v>
          </cell>
          <cell r="E162">
            <v>3.3780000000000001</v>
          </cell>
        </row>
        <row r="163">
          <cell r="C163">
            <v>7.9880000000000004</v>
          </cell>
          <cell r="D163">
            <v>6</v>
          </cell>
          <cell r="E163">
            <v>6.45</v>
          </cell>
        </row>
        <row r="164">
          <cell r="C164">
            <v>7.9880000000000004</v>
          </cell>
          <cell r="D164">
            <v>28</v>
          </cell>
          <cell r="E164">
            <v>7.9880000000000004</v>
          </cell>
        </row>
        <row r="165">
          <cell r="A165" t="str">
            <v>S-33</v>
          </cell>
          <cell r="C165">
            <v>7.9770000000000003</v>
          </cell>
          <cell r="D165">
            <v>0</v>
          </cell>
          <cell r="E165">
            <v>7.4569999999999999</v>
          </cell>
        </row>
        <row r="166">
          <cell r="C166">
            <v>7.9770000000000003</v>
          </cell>
          <cell r="D166">
            <v>0.47</v>
          </cell>
          <cell r="E166">
            <v>0.33500000000000002</v>
          </cell>
        </row>
        <row r="167">
          <cell r="C167">
            <v>7.9770000000000003</v>
          </cell>
          <cell r="D167">
            <v>2.6</v>
          </cell>
          <cell r="E167">
            <v>4.476</v>
          </cell>
        </row>
        <row r="168">
          <cell r="C168">
            <v>7.9770000000000003</v>
          </cell>
          <cell r="D168">
            <v>6</v>
          </cell>
          <cell r="E168">
            <v>6.9720000000000004</v>
          </cell>
        </row>
        <row r="169">
          <cell r="C169">
            <v>7.9770000000000003</v>
          </cell>
          <cell r="D169">
            <v>27</v>
          </cell>
          <cell r="E169">
            <v>7.9770000000000003</v>
          </cell>
        </row>
        <row r="170">
          <cell r="A170" t="str">
            <v>S-34</v>
          </cell>
          <cell r="C170">
            <v>7.9669999999999996</v>
          </cell>
          <cell r="D170">
            <v>0</v>
          </cell>
          <cell r="E170">
            <v>7.4359999999999999</v>
          </cell>
        </row>
        <row r="171">
          <cell r="C171">
            <v>7.9669999999999996</v>
          </cell>
          <cell r="D171">
            <v>0.49</v>
          </cell>
          <cell r="E171">
            <v>0.32300000000000001</v>
          </cell>
        </row>
        <row r="172">
          <cell r="C172">
            <v>7.9669999999999996</v>
          </cell>
          <cell r="D172">
            <v>2.5</v>
          </cell>
          <cell r="E172">
            <v>4.319</v>
          </cell>
        </row>
        <row r="173">
          <cell r="C173">
            <v>7.9669999999999996</v>
          </cell>
          <cell r="D173">
            <v>5</v>
          </cell>
          <cell r="E173">
            <v>6.5170000000000003</v>
          </cell>
        </row>
        <row r="174">
          <cell r="C174">
            <v>7.9669999999999996</v>
          </cell>
          <cell r="D174">
            <v>27</v>
          </cell>
          <cell r="E174">
            <v>7.9669999999999996</v>
          </cell>
        </row>
        <row r="175">
          <cell r="A175" t="str">
            <v>S-35</v>
          </cell>
          <cell r="C175">
            <v>7.9770000000000003</v>
          </cell>
          <cell r="D175">
            <v>0</v>
          </cell>
          <cell r="E175">
            <v>7.6970000000000001</v>
          </cell>
        </row>
        <row r="176">
          <cell r="C176">
            <v>7.9770000000000003</v>
          </cell>
          <cell r="D176">
            <v>0.7</v>
          </cell>
          <cell r="E176">
            <v>-0.18</v>
          </cell>
        </row>
        <row r="177">
          <cell r="C177">
            <v>7.9770000000000003</v>
          </cell>
          <cell r="D177">
            <v>3</v>
          </cell>
          <cell r="E177">
            <v>4.4690000000000003</v>
          </cell>
        </row>
        <row r="178">
          <cell r="C178">
            <v>7.9770000000000003</v>
          </cell>
          <cell r="D178">
            <v>6</v>
          </cell>
          <cell r="E178">
            <v>6.81</v>
          </cell>
        </row>
        <row r="179">
          <cell r="C179">
            <v>7.9770000000000003</v>
          </cell>
          <cell r="D179">
            <v>28</v>
          </cell>
          <cell r="E179">
            <v>7.9770000000000003</v>
          </cell>
        </row>
        <row r="180">
          <cell r="A180" t="str">
            <v>S-36</v>
          </cell>
          <cell r="C180">
            <v>7.9669999999999996</v>
          </cell>
          <cell r="D180">
            <v>0</v>
          </cell>
          <cell r="E180">
            <v>7.476</v>
          </cell>
        </row>
        <row r="181">
          <cell r="C181">
            <v>7.9669999999999996</v>
          </cell>
          <cell r="D181">
            <v>0.61099999999999999</v>
          </cell>
          <cell r="E181">
            <v>0.159</v>
          </cell>
        </row>
        <row r="182">
          <cell r="C182">
            <v>7.9669999999999996</v>
          </cell>
          <cell r="D182">
            <v>2.5</v>
          </cell>
          <cell r="E182">
            <v>4.08</v>
          </cell>
        </row>
        <row r="183">
          <cell r="C183">
            <v>7.9669999999999996</v>
          </cell>
          <cell r="D183">
            <v>5</v>
          </cell>
          <cell r="E183">
            <v>6.4219999999999997</v>
          </cell>
        </row>
        <row r="184">
          <cell r="C184">
            <v>7.9669999999999996</v>
          </cell>
          <cell r="D184">
            <v>27</v>
          </cell>
          <cell r="E184">
            <v>7.9669999999999996</v>
          </cell>
        </row>
        <row r="185">
          <cell r="A185" t="str">
            <v>S-37</v>
          </cell>
          <cell r="C185">
            <v>7.9560000000000004</v>
          </cell>
          <cell r="D185">
            <v>0</v>
          </cell>
          <cell r="E185">
            <v>7.2859999999999996</v>
          </cell>
        </row>
        <row r="186">
          <cell r="C186">
            <v>7.9560000000000004</v>
          </cell>
          <cell r="D186">
            <v>0.307</v>
          </cell>
          <cell r="E186">
            <v>0.59699999999999998</v>
          </cell>
        </row>
        <row r="187">
          <cell r="C187">
            <v>7.9560000000000004</v>
          </cell>
          <cell r="D187">
            <v>3</v>
          </cell>
          <cell r="E187">
            <v>5.2460000000000004</v>
          </cell>
        </row>
        <row r="188">
          <cell r="C188">
            <v>7.9560000000000004</v>
          </cell>
          <cell r="D188">
            <v>7</v>
          </cell>
          <cell r="E188">
            <v>7.3410000000000002</v>
          </cell>
        </row>
        <row r="189">
          <cell r="C189">
            <v>7.9560000000000004</v>
          </cell>
          <cell r="D189">
            <v>27</v>
          </cell>
          <cell r="E189">
            <v>7.9560000000000004</v>
          </cell>
        </row>
        <row r="190">
          <cell r="A190" t="str">
            <v>S-38</v>
          </cell>
          <cell r="C190">
            <v>7.9880000000000004</v>
          </cell>
          <cell r="D190">
            <v>0</v>
          </cell>
          <cell r="E190">
            <v>7.1470000000000002</v>
          </cell>
        </row>
        <row r="191">
          <cell r="C191">
            <v>7.9880000000000004</v>
          </cell>
          <cell r="D191">
            <v>0.22500000000000001</v>
          </cell>
          <cell r="E191">
            <v>0.80300000000000005</v>
          </cell>
        </row>
        <row r="192">
          <cell r="C192">
            <v>7.9880000000000004</v>
          </cell>
          <cell r="D192">
            <v>2.5</v>
          </cell>
          <cell r="E192">
            <v>4.859</v>
          </cell>
        </row>
        <row r="193">
          <cell r="C193">
            <v>7.9880000000000004</v>
          </cell>
          <cell r="D193">
            <v>6</v>
          </cell>
          <cell r="E193">
            <v>6.7350000000000003</v>
          </cell>
        </row>
        <row r="194">
          <cell r="C194">
            <v>7.9880000000000004</v>
          </cell>
          <cell r="D194">
            <v>27</v>
          </cell>
          <cell r="E194">
            <v>7.9870000000000001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1FE0-745F-481A-B6FC-4CAE461C4255}">
  <dimension ref="C3:X43"/>
  <sheetViews>
    <sheetView tabSelected="1" zoomScale="80" zoomScaleNormal="80" workbookViewId="0">
      <selection activeCell="Y10" sqref="Y10"/>
    </sheetView>
  </sheetViews>
  <sheetFormatPr defaultRowHeight="14.4" x14ac:dyDescent="0.3"/>
  <cols>
    <col min="6" max="6" width="13.44140625" customWidth="1"/>
    <col min="7" max="7" width="31.5546875" customWidth="1"/>
    <col min="8" max="8" width="10.33203125" customWidth="1"/>
    <col min="10" max="10" width="10.21875" customWidth="1"/>
    <col min="11" max="11" width="13.44140625" customWidth="1"/>
  </cols>
  <sheetData>
    <row r="3" spans="3:24" x14ac:dyDescent="0.3"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3:24" ht="64.8" x14ac:dyDescent="0.3">
      <c r="C4" s="11"/>
      <c r="E4" s="12" t="s">
        <v>69</v>
      </c>
      <c r="F4" s="13" t="s">
        <v>70</v>
      </c>
      <c r="G4" s="13" t="s">
        <v>71</v>
      </c>
      <c r="H4" s="12" t="s">
        <v>3</v>
      </c>
      <c r="I4" s="13" t="s">
        <v>58</v>
      </c>
      <c r="J4" s="13" t="s">
        <v>59</v>
      </c>
      <c r="K4" s="12" t="s">
        <v>1</v>
      </c>
      <c r="L4" s="12" t="s">
        <v>2</v>
      </c>
      <c r="M4" s="14" t="s">
        <v>42</v>
      </c>
      <c r="N4" s="14" t="s">
        <v>43</v>
      </c>
      <c r="O4" s="12" t="s">
        <v>44</v>
      </c>
      <c r="P4" s="15" t="s">
        <v>45</v>
      </c>
      <c r="Q4" s="15" t="s">
        <v>46</v>
      </c>
      <c r="R4" s="12" t="s">
        <v>47</v>
      </c>
      <c r="S4" s="15" t="s">
        <v>48</v>
      </c>
      <c r="T4" s="15" t="s">
        <v>50</v>
      </c>
      <c r="U4" s="15" t="s">
        <v>49</v>
      </c>
      <c r="V4" s="16" t="s">
        <v>51</v>
      </c>
      <c r="W4" s="15" t="s">
        <v>52</v>
      </c>
      <c r="X4" s="75"/>
    </row>
    <row r="5" spans="3:24" x14ac:dyDescent="0.3">
      <c r="C5" s="11"/>
      <c r="E5" s="1" t="s">
        <v>4</v>
      </c>
      <c r="F5" s="73" t="s">
        <v>72</v>
      </c>
      <c r="G5" s="73" t="s">
        <v>76</v>
      </c>
      <c r="H5" s="1">
        <v>0</v>
      </c>
      <c r="I5" s="9">
        <v>23.886600000000001</v>
      </c>
      <c r="J5" s="9">
        <v>90.391999999999996</v>
      </c>
      <c r="K5" s="1">
        <v>30.9</v>
      </c>
      <c r="L5" s="1">
        <v>0.1</v>
      </c>
      <c r="M5" s="2">
        <f>(0.23*1.047^(K5-20))</f>
        <v>0.37944310570536699</v>
      </c>
      <c r="N5" s="2">
        <f>(0.4*1.024^(K5-20))</f>
        <v>0.51799971249829224</v>
      </c>
      <c r="O5" s="3">
        <v>10.14</v>
      </c>
      <c r="P5" s="4">
        <f>(O5/(1-2.718^(-M5*5)))</f>
        <v>11.929624756687559</v>
      </c>
      <c r="Q5" s="2">
        <f>(14.62-0.394*K5+0.007714*(K5^2)-0.0000646*(K5^3))</f>
        <v>7.9048699065999992</v>
      </c>
      <c r="R5" s="3">
        <v>0.92</v>
      </c>
      <c r="S5" s="4">
        <f t="shared" ref="S5:S42" si="0">(Q5-R5)</f>
        <v>6.9848699065999993</v>
      </c>
      <c r="T5" s="5">
        <f t="shared" ref="T5:T42" si="1">(1/(N5-M5))*LN((N5/M5)*(1-(S5*(N5-M5)/(M5*P5))))</f>
        <v>0.51042815430468091</v>
      </c>
      <c r="U5" s="4">
        <f t="shared" ref="U5:U42" si="2">((M5/N5)*(P5*2.718^(-M5*T5)))</f>
        <v>7.2001106821764278</v>
      </c>
      <c r="V5" s="4">
        <f t="shared" ref="V5:V42" si="3">Q5-U5</f>
        <v>0.70475922442357142</v>
      </c>
      <c r="W5" s="4">
        <f t="shared" ref="W5:W42" si="4">(L5*T5*86400)/1000</f>
        <v>4.4100992531924437</v>
      </c>
      <c r="X5" s="76"/>
    </row>
    <row r="6" spans="3:24" x14ac:dyDescent="0.3">
      <c r="C6" s="11"/>
      <c r="E6" s="1" t="s">
        <v>5</v>
      </c>
      <c r="F6" s="73" t="s">
        <v>72</v>
      </c>
      <c r="G6" s="73" t="s">
        <v>77</v>
      </c>
      <c r="H6" s="1">
        <v>2200</v>
      </c>
      <c r="I6" s="9">
        <v>23.8917</v>
      </c>
      <c r="J6" s="9">
        <v>90.389399999999995</v>
      </c>
      <c r="K6" s="1">
        <v>29.1</v>
      </c>
      <c r="L6" s="1">
        <v>0.1</v>
      </c>
      <c r="M6" s="2">
        <f t="shared" ref="M6:M42" si="5">(0.23*1.047^(K6-20))</f>
        <v>0.34933543384421623</v>
      </c>
      <c r="N6" s="2">
        <f t="shared" ref="N6:N42" si="6">(0.4*1.024^(K6-20))</f>
        <v>0.4963517949487013</v>
      </c>
      <c r="O6" s="3">
        <v>10.02</v>
      </c>
      <c r="P6" s="4">
        <f t="shared" ref="P6:P42" si="7">(O6/(1-2.718^(-M6*5)))</f>
        <v>12.136391292009268</v>
      </c>
      <c r="Q6" s="2">
        <f t="shared" ref="Q6:Q42" si="8">(14.62-0.394*K6+0.007714*(K6^2)-0.0000646*(K6^3))</f>
        <v>8.0950080934000006</v>
      </c>
      <c r="R6" s="3">
        <v>1.39</v>
      </c>
      <c r="S6" s="4">
        <f t="shared" si="0"/>
        <v>6.7050080934000009</v>
      </c>
      <c r="T6" s="5">
        <f t="shared" si="1"/>
        <v>0.58924536078215917</v>
      </c>
      <c r="U6" s="4">
        <f t="shared" si="2"/>
        <v>6.9527216874921507</v>
      </c>
      <c r="V6" s="4">
        <f t="shared" si="3"/>
        <v>1.1422864059078499</v>
      </c>
      <c r="W6" s="4">
        <f t="shared" si="4"/>
        <v>5.0910799171578551</v>
      </c>
      <c r="X6" s="76"/>
    </row>
    <row r="7" spans="3:24" x14ac:dyDescent="0.3">
      <c r="C7" s="11"/>
      <c r="E7" s="1" t="s">
        <v>6</v>
      </c>
      <c r="F7" s="73" t="s">
        <v>72</v>
      </c>
      <c r="G7" s="73" t="s">
        <v>78</v>
      </c>
      <c r="H7" s="1">
        <v>4400</v>
      </c>
      <c r="I7" s="9">
        <v>23.895800000000001</v>
      </c>
      <c r="J7" s="9">
        <v>90.37</v>
      </c>
      <c r="K7" s="1">
        <v>31</v>
      </c>
      <c r="L7" s="1">
        <v>0.1</v>
      </c>
      <c r="M7" s="2">
        <f t="shared" si="5"/>
        <v>0.38118985560838808</v>
      </c>
      <c r="N7" s="2">
        <f t="shared" si="6"/>
        <v>0.51922968585348284</v>
      </c>
      <c r="O7" s="3">
        <v>8.6999999999999993</v>
      </c>
      <c r="P7" s="4">
        <f t="shared" si="7"/>
        <v>10.219793942118148</v>
      </c>
      <c r="Q7" s="2">
        <f t="shared" si="8"/>
        <v>7.8946553999999995</v>
      </c>
      <c r="R7" s="3">
        <v>1.46</v>
      </c>
      <c r="S7" s="4">
        <f t="shared" si="0"/>
        <v>6.4346553999999996</v>
      </c>
      <c r="T7" s="5">
        <f t="shared" si="1"/>
        <v>0.36417246938856285</v>
      </c>
      <c r="U7" s="4">
        <f t="shared" si="2"/>
        <v>6.5304325691690561</v>
      </c>
      <c r="V7" s="4">
        <f t="shared" si="3"/>
        <v>1.3642228308309434</v>
      </c>
      <c r="W7" s="4">
        <f t="shared" si="4"/>
        <v>3.146450135517183</v>
      </c>
      <c r="X7" s="76"/>
    </row>
    <row r="8" spans="3:24" x14ac:dyDescent="0.3">
      <c r="C8" s="11"/>
      <c r="E8" s="1" t="s">
        <v>7</v>
      </c>
      <c r="F8" s="73" t="s">
        <v>72</v>
      </c>
      <c r="G8" s="73" t="s">
        <v>79</v>
      </c>
      <c r="H8" s="1">
        <v>6600</v>
      </c>
      <c r="I8" s="9">
        <v>23.886800000000001</v>
      </c>
      <c r="J8" s="9">
        <v>90.3583</v>
      </c>
      <c r="K8" s="1">
        <v>31.1</v>
      </c>
      <c r="L8" s="1">
        <v>0.1</v>
      </c>
      <c r="M8" s="2">
        <f t="shared" si="5"/>
        <v>0.3829446465989344</v>
      </c>
      <c r="N8" s="2">
        <f t="shared" si="6"/>
        <v>0.52046257974012944</v>
      </c>
      <c r="O8" s="3">
        <v>8.34</v>
      </c>
      <c r="P8" s="4">
        <f t="shared" si="7"/>
        <v>9.7819800711873146</v>
      </c>
      <c r="Q8" s="2">
        <f t="shared" si="8"/>
        <v>7.884475017399998</v>
      </c>
      <c r="R8" s="3">
        <v>1.61</v>
      </c>
      <c r="S8" s="4">
        <f t="shared" si="0"/>
        <v>6.2744750173999977</v>
      </c>
      <c r="T8" s="5">
        <f t="shared" si="1"/>
        <v>0.3273606152237713</v>
      </c>
      <c r="U8" s="4">
        <f t="shared" si="2"/>
        <v>6.3494385266876794</v>
      </c>
      <c r="V8" s="4">
        <f t="shared" si="3"/>
        <v>1.5350364907123186</v>
      </c>
      <c r="W8" s="4">
        <f t="shared" si="4"/>
        <v>2.8283957155333841</v>
      </c>
      <c r="X8" s="76"/>
    </row>
    <row r="9" spans="3:24" x14ac:dyDescent="0.3">
      <c r="C9" s="11"/>
      <c r="E9" s="1" t="s">
        <v>8</v>
      </c>
      <c r="F9" s="73" t="s">
        <v>72</v>
      </c>
      <c r="G9" s="73" t="s">
        <v>80</v>
      </c>
      <c r="H9" s="1">
        <v>8800</v>
      </c>
      <c r="I9" s="9">
        <v>23.877099999999999</v>
      </c>
      <c r="J9" s="9">
        <v>90.351600000000005</v>
      </c>
      <c r="K9" s="1">
        <v>30.9</v>
      </c>
      <c r="L9" s="1">
        <v>0.1</v>
      </c>
      <c r="M9" s="2">
        <f t="shared" si="5"/>
        <v>0.37944310570536699</v>
      </c>
      <c r="N9" s="2">
        <f t="shared" si="6"/>
        <v>0.51799971249829224</v>
      </c>
      <c r="O9" s="3">
        <v>7.95</v>
      </c>
      <c r="P9" s="4">
        <f t="shared" si="7"/>
        <v>9.3531081672254537</v>
      </c>
      <c r="Q9" s="2">
        <f t="shared" si="8"/>
        <v>7.9048699065999992</v>
      </c>
      <c r="R9" s="3">
        <v>1.53</v>
      </c>
      <c r="S9" s="4">
        <f t="shared" si="0"/>
        <v>6.374869906599999</v>
      </c>
      <c r="T9" s="5">
        <f t="shared" si="1"/>
        <v>0.18097753055864532</v>
      </c>
      <c r="U9" s="4">
        <f t="shared" si="2"/>
        <v>6.3966546031502798</v>
      </c>
      <c r="V9" s="4">
        <f t="shared" si="3"/>
        <v>1.5082153034497194</v>
      </c>
      <c r="W9" s="4">
        <f t="shared" si="4"/>
        <v>1.5636458640266955</v>
      </c>
      <c r="X9" s="76"/>
    </row>
    <row r="10" spans="3:24" x14ac:dyDescent="0.3">
      <c r="C10" s="11"/>
      <c r="E10" s="1" t="s">
        <v>9</v>
      </c>
      <c r="F10" s="73" t="s">
        <v>72</v>
      </c>
      <c r="G10" s="73" t="s">
        <v>81</v>
      </c>
      <c r="H10" s="1">
        <v>11000</v>
      </c>
      <c r="I10" s="9">
        <v>23.8584</v>
      </c>
      <c r="J10" s="9">
        <v>90.345699999999994</v>
      </c>
      <c r="K10" s="1">
        <v>30.6</v>
      </c>
      <c r="L10" s="1">
        <v>0.28000000000000003</v>
      </c>
      <c r="M10" s="2">
        <f t="shared" si="5"/>
        <v>0.37425073489317673</v>
      </c>
      <c r="N10" s="2">
        <f t="shared" si="6"/>
        <v>0.51432724652056727</v>
      </c>
      <c r="O10" s="3">
        <v>8.4</v>
      </c>
      <c r="P10" s="4">
        <f t="shared" si="7"/>
        <v>9.9286136276053547</v>
      </c>
      <c r="Q10" s="2">
        <f t="shared" si="8"/>
        <v>7.9357220463999969</v>
      </c>
      <c r="R10" s="3">
        <v>1.64</v>
      </c>
      <c r="S10" s="4">
        <f t="shared" si="0"/>
        <v>6.2957220463999972</v>
      </c>
      <c r="T10" s="5">
        <f t="shared" si="1"/>
        <v>0.33552317772151663</v>
      </c>
      <c r="U10" s="4">
        <f t="shared" si="2"/>
        <v>6.372107962898891</v>
      </c>
      <c r="V10" s="4">
        <f t="shared" si="3"/>
        <v>1.5636140835011059</v>
      </c>
      <c r="W10" s="4">
        <f t="shared" si="4"/>
        <v>8.1169767154389305</v>
      </c>
      <c r="X10" s="76"/>
    </row>
    <row r="11" spans="3:24" x14ac:dyDescent="0.3">
      <c r="C11" s="11"/>
      <c r="E11" s="1" t="s">
        <v>10</v>
      </c>
      <c r="F11" s="73" t="s">
        <v>72</v>
      </c>
      <c r="G11" s="73" t="s">
        <v>82</v>
      </c>
      <c r="H11" s="1">
        <v>13200</v>
      </c>
      <c r="I11" s="9">
        <v>23.837499999999999</v>
      </c>
      <c r="J11" s="9">
        <v>90.338099999999997</v>
      </c>
      <c r="K11" s="1">
        <v>29.7</v>
      </c>
      <c r="L11" s="1">
        <v>0.17</v>
      </c>
      <c r="M11" s="2">
        <f t="shared" si="5"/>
        <v>0.35909606680234124</v>
      </c>
      <c r="N11" s="2">
        <f t="shared" si="6"/>
        <v>0.50346533176323283</v>
      </c>
      <c r="O11" s="3">
        <v>9.48</v>
      </c>
      <c r="P11" s="4">
        <f t="shared" si="7"/>
        <v>11.367977704507981</v>
      </c>
      <c r="Q11" s="2">
        <f t="shared" si="8"/>
        <v>8.0302467441999994</v>
      </c>
      <c r="R11" s="3">
        <v>0.9</v>
      </c>
      <c r="S11" s="4">
        <f t="shared" si="0"/>
        <v>7.130246744199999</v>
      </c>
      <c r="T11" s="5">
        <f t="shared" si="1"/>
        <v>0.32798878602591403</v>
      </c>
      <c r="U11" s="4">
        <f t="shared" si="2"/>
        <v>7.2073998223539242</v>
      </c>
      <c r="V11" s="4">
        <f t="shared" si="3"/>
        <v>0.82284692184607522</v>
      </c>
      <c r="W11" s="4">
        <f t="shared" si="4"/>
        <v>4.8174992891486257</v>
      </c>
      <c r="X11" s="76"/>
    </row>
    <row r="12" spans="3:24" ht="27.6" x14ac:dyDescent="0.3">
      <c r="C12" s="11"/>
      <c r="E12" s="1" t="s">
        <v>11</v>
      </c>
      <c r="F12" s="73" t="s">
        <v>72</v>
      </c>
      <c r="G12" s="74" t="s">
        <v>83</v>
      </c>
      <c r="H12" s="1">
        <v>15400</v>
      </c>
      <c r="I12" s="9">
        <v>23.823699999999999</v>
      </c>
      <c r="J12" s="9">
        <v>90.339200000000005</v>
      </c>
      <c r="K12" s="1">
        <v>31.2</v>
      </c>
      <c r="L12" s="1">
        <v>0.11</v>
      </c>
      <c r="M12" s="2">
        <f t="shared" si="5"/>
        <v>0.38470751569380357</v>
      </c>
      <c r="N12" s="2">
        <f t="shared" si="6"/>
        <v>0.52169840109293819</v>
      </c>
      <c r="O12" s="3">
        <v>7.08</v>
      </c>
      <c r="P12" s="4">
        <f t="shared" si="7"/>
        <v>8.2915475233217997</v>
      </c>
      <c r="Q12" s="2">
        <f t="shared" si="8"/>
        <v>7.874328371199999</v>
      </c>
      <c r="R12" s="3">
        <v>1.71</v>
      </c>
      <c r="S12" s="4">
        <f t="shared" si="0"/>
        <v>6.164328371199999</v>
      </c>
      <c r="T12" s="5">
        <f t="shared" si="1"/>
        <v>-2.1299551812434904E-2</v>
      </c>
      <c r="U12" s="4">
        <f t="shared" si="2"/>
        <v>6.1646019851953948</v>
      </c>
      <c r="V12" s="4">
        <f t="shared" si="3"/>
        <v>1.7097263860046041</v>
      </c>
      <c r="W12" s="4">
        <f t="shared" si="4"/>
        <v>-0.20243094042538134</v>
      </c>
      <c r="X12" s="76"/>
    </row>
    <row r="13" spans="3:24" x14ac:dyDescent="0.3">
      <c r="C13" s="11"/>
      <c r="E13" s="1" t="s">
        <v>12</v>
      </c>
      <c r="F13" s="73" t="s">
        <v>73</v>
      </c>
      <c r="G13" s="73" t="s">
        <v>84</v>
      </c>
      <c r="H13" s="1">
        <v>17600</v>
      </c>
      <c r="I13" s="9">
        <v>23.808900000000001</v>
      </c>
      <c r="J13" s="9">
        <v>90.340100000000007</v>
      </c>
      <c r="K13" s="1">
        <v>31.7</v>
      </c>
      <c r="L13" s="1">
        <v>0.09</v>
      </c>
      <c r="M13" s="2">
        <f t="shared" si="5"/>
        <v>0.39364434029332768</v>
      </c>
      <c r="N13" s="2">
        <f t="shared" si="6"/>
        <v>0.52792166371896365</v>
      </c>
      <c r="O13" s="3">
        <v>11.97</v>
      </c>
      <c r="P13" s="4">
        <f t="shared" si="7"/>
        <v>13.914294226168744</v>
      </c>
      <c r="Q13" s="2">
        <f t="shared" si="8"/>
        <v>7.8240876201999994</v>
      </c>
      <c r="R13" s="3">
        <v>0.71</v>
      </c>
      <c r="S13" s="4">
        <f t="shared" si="0"/>
        <v>7.1140876201999994</v>
      </c>
      <c r="T13" s="5">
        <f t="shared" si="1"/>
        <v>0.75850667148778705</v>
      </c>
      <c r="U13" s="4">
        <f t="shared" si="2"/>
        <v>7.6972696629695783</v>
      </c>
      <c r="V13" s="4">
        <f t="shared" si="3"/>
        <v>0.12681795723042111</v>
      </c>
      <c r="W13" s="4">
        <f t="shared" si="4"/>
        <v>5.8981478774890315</v>
      </c>
      <c r="X13" s="76"/>
    </row>
    <row r="14" spans="3:24" ht="27.6" x14ac:dyDescent="0.3">
      <c r="C14" s="11"/>
      <c r="E14" s="1" t="s">
        <v>13</v>
      </c>
      <c r="F14" s="73" t="s">
        <v>73</v>
      </c>
      <c r="G14" s="74" t="s">
        <v>85</v>
      </c>
      <c r="H14" s="1">
        <v>19800</v>
      </c>
      <c r="I14" s="9">
        <v>23.7912</v>
      </c>
      <c r="J14" s="9">
        <v>90.3399</v>
      </c>
      <c r="K14" s="1">
        <v>30.8</v>
      </c>
      <c r="L14" s="1">
        <v>0.08</v>
      </c>
      <c r="M14" s="2">
        <f t="shared" si="5"/>
        <v>0.37770436004269692</v>
      </c>
      <c r="N14" s="2">
        <f t="shared" si="6"/>
        <v>0.51677265275627826</v>
      </c>
      <c r="O14" s="3">
        <v>11.88</v>
      </c>
      <c r="P14" s="4">
        <f t="shared" si="7"/>
        <v>13.998290074032054</v>
      </c>
      <c r="Q14" s="2">
        <f t="shared" si="8"/>
        <v>7.9151189247999989</v>
      </c>
      <c r="R14" s="3">
        <v>0.6</v>
      </c>
      <c r="S14" s="4">
        <f t="shared" si="0"/>
        <v>7.3151189247999993</v>
      </c>
      <c r="T14" s="5">
        <f t="shared" si="1"/>
        <v>0.71758478499674649</v>
      </c>
      <c r="U14" s="4">
        <f t="shared" si="2"/>
        <v>7.8024448227058407</v>
      </c>
      <c r="V14" s="4">
        <f t="shared" si="3"/>
        <v>0.11267410209415818</v>
      </c>
      <c r="W14" s="4">
        <f t="shared" si="4"/>
        <v>4.9599460338975119</v>
      </c>
      <c r="X14" s="76"/>
    </row>
    <row r="15" spans="3:24" x14ac:dyDescent="0.3">
      <c r="C15" s="11"/>
      <c r="E15" s="1" t="s">
        <v>14</v>
      </c>
      <c r="F15" s="73" t="s">
        <v>73</v>
      </c>
      <c r="G15" s="73" t="s">
        <v>86</v>
      </c>
      <c r="H15" s="1">
        <v>22000</v>
      </c>
      <c r="I15" s="9">
        <v>23.7759</v>
      </c>
      <c r="J15" s="9">
        <v>90.334900000000005</v>
      </c>
      <c r="K15" s="1">
        <v>30.8</v>
      </c>
      <c r="L15" s="1">
        <v>0.28000000000000003</v>
      </c>
      <c r="M15" s="2">
        <f t="shared" si="5"/>
        <v>0.37770436004269692</v>
      </c>
      <c r="N15" s="2">
        <f t="shared" si="6"/>
        <v>0.51677265275627826</v>
      </c>
      <c r="O15" s="3">
        <v>10.23</v>
      </c>
      <c r="P15" s="4">
        <f t="shared" si="7"/>
        <v>12.05408311930538</v>
      </c>
      <c r="Q15" s="2">
        <f t="shared" si="8"/>
        <v>7.9151189247999989</v>
      </c>
      <c r="R15" s="3">
        <v>1.1599999999999999</v>
      </c>
      <c r="S15" s="4">
        <f t="shared" si="0"/>
        <v>6.7551189247999988</v>
      </c>
      <c r="T15" s="5">
        <f t="shared" si="1"/>
        <v>0.59248745605149589</v>
      </c>
      <c r="U15" s="4">
        <f t="shared" si="2"/>
        <v>7.0438176071241658</v>
      </c>
      <c r="V15" s="4">
        <f t="shared" si="3"/>
        <v>0.87130131767583308</v>
      </c>
      <c r="W15" s="4">
        <f t="shared" si="4"/>
        <v>14.33345653679779</v>
      </c>
      <c r="X15" s="76"/>
    </row>
    <row r="16" spans="3:24" x14ac:dyDescent="0.3">
      <c r="C16" s="11"/>
      <c r="E16" s="1" t="s">
        <v>15</v>
      </c>
      <c r="F16" s="73" t="s">
        <v>73</v>
      </c>
      <c r="G16" s="73" t="s">
        <v>87</v>
      </c>
      <c r="H16" s="1">
        <v>24200</v>
      </c>
      <c r="I16" s="9">
        <v>23.761199999999999</v>
      </c>
      <c r="J16" s="9">
        <v>90.338099999999997</v>
      </c>
      <c r="K16" s="1">
        <v>30.7</v>
      </c>
      <c r="L16" s="1">
        <v>0.23</v>
      </c>
      <c r="M16" s="2">
        <f t="shared" si="5"/>
        <v>0.37597358194205127</v>
      </c>
      <c r="N16" s="2">
        <f t="shared" si="6"/>
        <v>0.51554849972555039</v>
      </c>
      <c r="O16" s="3">
        <v>10.26</v>
      </c>
      <c r="P16" s="4">
        <f t="shared" si="7"/>
        <v>12.108195026118279</v>
      </c>
      <c r="Q16" s="2">
        <f t="shared" si="8"/>
        <v>7.9254028421999987</v>
      </c>
      <c r="R16" s="3">
        <v>1.05</v>
      </c>
      <c r="S16" s="4">
        <f t="shared" si="0"/>
        <v>6.8754028421999989</v>
      </c>
      <c r="T16" s="5">
        <f t="shared" si="1"/>
        <v>0.5658474592807784</v>
      </c>
      <c r="U16" s="4">
        <f t="shared" si="2"/>
        <v>7.1381123063613492</v>
      </c>
      <c r="V16" s="4">
        <f t="shared" si="3"/>
        <v>0.7872905358386495</v>
      </c>
      <c r="W16" s="4">
        <f t="shared" si="4"/>
        <v>11.244520710827627</v>
      </c>
      <c r="X16" s="76"/>
    </row>
    <row r="17" spans="3:24" x14ac:dyDescent="0.3">
      <c r="C17" s="11"/>
      <c r="E17" s="1" t="s">
        <v>16</v>
      </c>
      <c r="F17" s="73" t="s">
        <v>73</v>
      </c>
      <c r="G17" s="73" t="s">
        <v>88</v>
      </c>
      <c r="H17" s="1">
        <v>26400</v>
      </c>
      <c r="I17" s="9">
        <v>23.747800000000002</v>
      </c>
      <c r="J17" s="9">
        <v>90.334999999999994</v>
      </c>
      <c r="K17" s="1">
        <v>30.7</v>
      </c>
      <c r="L17" s="1">
        <v>0.17</v>
      </c>
      <c r="M17" s="2">
        <f t="shared" si="5"/>
        <v>0.37597358194205127</v>
      </c>
      <c r="N17" s="2">
        <f t="shared" si="6"/>
        <v>0.51554849972555039</v>
      </c>
      <c r="O17" s="3">
        <v>10.38</v>
      </c>
      <c r="P17" s="4">
        <f t="shared" si="7"/>
        <v>12.249811342213231</v>
      </c>
      <c r="Q17" s="2">
        <f t="shared" si="8"/>
        <v>7.9254028421999987</v>
      </c>
      <c r="R17" s="3">
        <v>0.89</v>
      </c>
      <c r="S17" s="4">
        <f t="shared" si="0"/>
        <v>7.035402842199999</v>
      </c>
      <c r="T17" s="5">
        <f t="shared" si="1"/>
        <v>0.54391807255331548</v>
      </c>
      <c r="U17" s="4">
        <f t="shared" si="2"/>
        <v>7.2813800514012543</v>
      </c>
      <c r="V17" s="4">
        <f t="shared" si="3"/>
        <v>0.64402279079874436</v>
      </c>
      <c r="W17" s="4">
        <f t="shared" si="4"/>
        <v>7.989068649663098</v>
      </c>
      <c r="X17" s="76"/>
    </row>
    <row r="18" spans="3:24" x14ac:dyDescent="0.3">
      <c r="C18" s="11"/>
      <c r="E18" s="1" t="s">
        <v>17</v>
      </c>
      <c r="F18" s="73" t="s">
        <v>73</v>
      </c>
      <c r="G18" s="73" t="s">
        <v>89</v>
      </c>
      <c r="H18" s="1">
        <v>28600</v>
      </c>
      <c r="I18" s="9">
        <v>23.741299999999999</v>
      </c>
      <c r="J18" s="9">
        <v>90.349599999999995</v>
      </c>
      <c r="K18" s="1">
        <v>30.8</v>
      </c>
      <c r="L18" s="1">
        <v>0.22</v>
      </c>
      <c r="M18" s="2">
        <f t="shared" si="5"/>
        <v>0.37770436004269692</v>
      </c>
      <c r="N18" s="2">
        <f t="shared" si="6"/>
        <v>0.51677265275627826</v>
      </c>
      <c r="O18" s="3">
        <v>10.23</v>
      </c>
      <c r="P18" s="4">
        <f t="shared" si="7"/>
        <v>12.05408311930538</v>
      </c>
      <c r="Q18" s="2">
        <f t="shared" si="8"/>
        <v>7.9151189247999989</v>
      </c>
      <c r="R18" s="3">
        <v>1.1499999999999999</v>
      </c>
      <c r="S18" s="4">
        <f t="shared" si="0"/>
        <v>6.7651189247999994</v>
      </c>
      <c r="T18" s="5">
        <f t="shared" si="1"/>
        <v>0.58971949033424687</v>
      </c>
      <c r="U18" s="4">
        <f t="shared" si="2"/>
        <v>7.0511848127687768</v>
      </c>
      <c r="V18" s="4">
        <f t="shared" si="3"/>
        <v>0.86393411203122206</v>
      </c>
      <c r="W18" s="4">
        <f t="shared" si="4"/>
        <v>11.209388072273365</v>
      </c>
      <c r="X18" s="76"/>
    </row>
    <row r="19" spans="3:24" x14ac:dyDescent="0.3">
      <c r="C19" s="11"/>
      <c r="E19" s="1" t="s">
        <v>18</v>
      </c>
      <c r="F19" s="73" t="s">
        <v>73</v>
      </c>
      <c r="G19" s="73" t="s">
        <v>90</v>
      </c>
      <c r="H19" s="1">
        <v>30800</v>
      </c>
      <c r="I19" s="9">
        <v>23.719100000000001</v>
      </c>
      <c r="J19" s="9">
        <v>90.360600000000005</v>
      </c>
      <c r="K19" s="1">
        <v>30.5</v>
      </c>
      <c r="L19" s="1">
        <v>0.34</v>
      </c>
      <c r="M19" s="2">
        <f t="shared" si="5"/>
        <v>0.3725357825531232</v>
      </c>
      <c r="N19" s="2">
        <f t="shared" si="6"/>
        <v>0.51310888627209827</v>
      </c>
      <c r="O19" s="3">
        <v>7.65</v>
      </c>
      <c r="P19" s="4">
        <f t="shared" si="7"/>
        <v>9.0563211833005361</v>
      </c>
      <c r="Q19" s="2">
        <f t="shared" si="8"/>
        <v>7.9460769249999981</v>
      </c>
      <c r="R19" s="3">
        <v>0.97</v>
      </c>
      <c r="S19" s="4">
        <f t="shared" si="0"/>
        <v>6.9760769249999983</v>
      </c>
      <c r="T19" s="5">
        <f t="shared" si="1"/>
        <v>-0.16555994980006355</v>
      </c>
      <c r="U19" s="4">
        <f t="shared" si="2"/>
        <v>6.993482296907362</v>
      </c>
      <c r="V19" s="4">
        <f t="shared" si="3"/>
        <v>0.95259462809263606</v>
      </c>
      <c r="W19" s="4">
        <f t="shared" si="4"/>
        <v>-4.863489085326667</v>
      </c>
      <c r="X19" s="76"/>
    </row>
    <row r="20" spans="3:24" x14ac:dyDescent="0.3">
      <c r="C20" s="11"/>
      <c r="E20" s="1" t="s">
        <v>19</v>
      </c>
      <c r="F20" s="73" t="s">
        <v>73</v>
      </c>
      <c r="G20" s="73" t="s">
        <v>91</v>
      </c>
      <c r="H20" s="1">
        <v>33000</v>
      </c>
      <c r="I20" s="9">
        <v>23.708100000000002</v>
      </c>
      <c r="J20" s="9">
        <v>90.371200000000002</v>
      </c>
      <c r="K20" s="1">
        <v>31.3</v>
      </c>
      <c r="L20" s="1">
        <v>0.05</v>
      </c>
      <c r="M20" s="2">
        <f t="shared" si="5"/>
        <v>0.38647850008019929</v>
      </c>
      <c r="N20" s="2">
        <f t="shared" si="6"/>
        <v>0.52293715686308173</v>
      </c>
      <c r="O20" s="3">
        <v>12.03</v>
      </c>
      <c r="P20" s="4">
        <f t="shared" si="7"/>
        <v>14.067384363664697</v>
      </c>
      <c r="Q20" s="2">
        <f t="shared" si="8"/>
        <v>7.8642150738000005</v>
      </c>
      <c r="R20" s="3">
        <v>0.82</v>
      </c>
      <c r="S20" s="4">
        <f t="shared" si="0"/>
        <v>7.0442150738000002</v>
      </c>
      <c r="T20" s="5">
        <f t="shared" si="1"/>
        <v>0.79014892405085957</v>
      </c>
      <c r="U20" s="4">
        <f t="shared" si="2"/>
        <v>7.6609039444255602</v>
      </c>
      <c r="V20" s="4">
        <f t="shared" si="3"/>
        <v>0.20331112937444029</v>
      </c>
      <c r="W20" s="4">
        <f t="shared" si="4"/>
        <v>3.4134433518997138</v>
      </c>
      <c r="X20" s="76"/>
    </row>
    <row r="21" spans="3:24" x14ac:dyDescent="0.3">
      <c r="C21" s="11"/>
      <c r="E21" s="1" t="s">
        <v>20</v>
      </c>
      <c r="F21" s="73" t="s">
        <v>73</v>
      </c>
      <c r="G21" s="73" t="s">
        <v>92</v>
      </c>
      <c r="H21" s="1">
        <v>35200</v>
      </c>
      <c r="I21" s="9">
        <v>23.711099999999998</v>
      </c>
      <c r="J21" s="9">
        <v>90.3917</v>
      </c>
      <c r="K21" s="1">
        <v>30.5</v>
      </c>
      <c r="L21" s="1">
        <v>0.03</v>
      </c>
      <c r="M21" s="2">
        <f t="shared" si="5"/>
        <v>0.3725357825531232</v>
      </c>
      <c r="N21" s="2">
        <f t="shared" si="6"/>
        <v>0.51310888627209827</v>
      </c>
      <c r="O21" s="3">
        <v>13.52</v>
      </c>
      <c r="P21" s="4">
        <f t="shared" si="7"/>
        <v>16.005419921336372</v>
      </c>
      <c r="Q21" s="2">
        <f t="shared" si="8"/>
        <v>7.9460769249999981</v>
      </c>
      <c r="R21" s="3">
        <v>1.02</v>
      </c>
      <c r="S21" s="4">
        <f t="shared" si="0"/>
        <v>6.9260769249999985</v>
      </c>
      <c r="T21" s="5">
        <f t="shared" si="1"/>
        <v>1.0092936113624249</v>
      </c>
      <c r="U21" s="4">
        <f t="shared" si="2"/>
        <v>7.9790026852518867</v>
      </c>
      <c r="V21" s="4">
        <f t="shared" si="3"/>
        <v>-3.2925760251888647E-2</v>
      </c>
      <c r="W21" s="4">
        <f t="shared" si="4"/>
        <v>2.6160890406514055</v>
      </c>
      <c r="X21" s="76"/>
    </row>
    <row r="22" spans="3:24" x14ac:dyDescent="0.3">
      <c r="C22" s="11"/>
      <c r="E22" s="1" t="s">
        <v>21</v>
      </c>
      <c r="F22" s="73" t="s">
        <v>73</v>
      </c>
      <c r="G22" s="73" t="s">
        <v>93</v>
      </c>
      <c r="H22" s="1">
        <v>37400</v>
      </c>
      <c r="I22" s="9">
        <v>23.703900000000001</v>
      </c>
      <c r="J22" s="9">
        <v>90.411900000000003</v>
      </c>
      <c r="K22" s="1">
        <v>29.8</v>
      </c>
      <c r="L22" s="1">
        <v>0.06</v>
      </c>
      <c r="M22" s="2">
        <f t="shared" si="5"/>
        <v>0.36074914999302476</v>
      </c>
      <c r="N22" s="2">
        <f t="shared" si="6"/>
        <v>0.50466079370730299</v>
      </c>
      <c r="O22" s="3">
        <v>9.3000000000000007</v>
      </c>
      <c r="P22" s="4">
        <f t="shared" si="7"/>
        <v>11.1338800901529</v>
      </c>
      <c r="Q22" s="2">
        <f t="shared" si="8"/>
        <v>8.0195925167999995</v>
      </c>
      <c r="R22" s="17">
        <v>0.9</v>
      </c>
      <c r="S22" s="4">
        <f t="shared" si="0"/>
        <v>7.1195925167999992</v>
      </c>
      <c r="T22" s="5">
        <f t="shared" si="1"/>
        <v>0.28633704261147058</v>
      </c>
      <c r="U22" s="4">
        <f t="shared" si="2"/>
        <v>7.1778788806690121</v>
      </c>
      <c r="V22" s="4">
        <f t="shared" si="3"/>
        <v>0.84171363613098737</v>
      </c>
      <c r="W22" s="4">
        <f t="shared" si="4"/>
        <v>1.4843712288978637</v>
      </c>
      <c r="X22" s="76"/>
    </row>
    <row r="23" spans="3:24" x14ac:dyDescent="0.3">
      <c r="C23" s="11"/>
      <c r="E23" s="1" t="s">
        <v>22</v>
      </c>
      <c r="F23" s="73" t="s">
        <v>74</v>
      </c>
      <c r="G23" s="74" t="s">
        <v>94</v>
      </c>
      <c r="H23" s="1">
        <v>39600</v>
      </c>
      <c r="I23" s="9">
        <v>23.689800000000002</v>
      </c>
      <c r="J23" s="9">
        <v>90.426299999999998</v>
      </c>
      <c r="K23" s="1">
        <v>29.9</v>
      </c>
      <c r="L23" s="1">
        <v>0.21</v>
      </c>
      <c r="M23" s="2">
        <f t="shared" si="5"/>
        <v>0.36240984308057977</v>
      </c>
      <c r="N23" s="2">
        <f t="shared" si="6"/>
        <v>0.50585909423661346</v>
      </c>
      <c r="O23" s="3">
        <v>10.6</v>
      </c>
      <c r="P23" s="4">
        <f t="shared" si="7"/>
        <v>12.669572138928915</v>
      </c>
      <c r="Q23" s="2">
        <f t="shared" si="8"/>
        <v>8.0089770645999998</v>
      </c>
      <c r="R23" s="3">
        <v>0.74</v>
      </c>
      <c r="S23" s="4">
        <f t="shared" si="0"/>
        <v>7.2689770645999996</v>
      </c>
      <c r="T23" s="5">
        <f t="shared" si="1"/>
        <v>0.52898069217092603</v>
      </c>
      <c r="U23" s="4">
        <f t="shared" si="2"/>
        <v>7.4934766763839695</v>
      </c>
      <c r="V23" s="4">
        <f t="shared" si="3"/>
        <v>0.51550038821603028</v>
      </c>
      <c r="W23" s="4">
        <f t="shared" si="4"/>
        <v>9.5978256787492811</v>
      </c>
      <c r="X23" s="76"/>
    </row>
    <row r="24" spans="3:24" x14ac:dyDescent="0.3">
      <c r="C24" s="11"/>
      <c r="E24" s="1" t="s">
        <v>23</v>
      </c>
      <c r="F24" s="73" t="s">
        <v>74</v>
      </c>
      <c r="G24" s="74" t="s">
        <v>95</v>
      </c>
      <c r="H24" s="1">
        <v>41800</v>
      </c>
      <c r="I24" s="9">
        <v>23.671500000000002</v>
      </c>
      <c r="J24" s="9">
        <v>90.447699999999998</v>
      </c>
      <c r="K24" s="1">
        <v>29.28</v>
      </c>
      <c r="L24" s="1">
        <v>0.19</v>
      </c>
      <c r="M24" s="2">
        <f t="shared" si="5"/>
        <v>0.35223543337891466</v>
      </c>
      <c r="N24" s="2">
        <f t="shared" si="6"/>
        <v>0.49847523748536648</v>
      </c>
      <c r="O24" s="3">
        <v>11.3</v>
      </c>
      <c r="P24" s="4">
        <f t="shared" si="7"/>
        <v>13.645263902796188</v>
      </c>
      <c r="Q24" s="2">
        <f t="shared" si="8"/>
        <v>8.0754266718208001</v>
      </c>
      <c r="R24" s="3">
        <v>0.63</v>
      </c>
      <c r="S24" s="4">
        <f t="shared" si="0"/>
        <v>7.4454266718208002</v>
      </c>
      <c r="T24" s="5">
        <f t="shared" si="1"/>
        <v>0.6179983462694788</v>
      </c>
      <c r="U24" s="4">
        <f t="shared" si="2"/>
        <v>7.7561031144386865</v>
      </c>
      <c r="V24" s="4">
        <f t="shared" si="3"/>
        <v>0.3193235573821136</v>
      </c>
      <c r="W24" s="4">
        <f t="shared" si="4"/>
        <v>10.145060852359764</v>
      </c>
      <c r="X24" s="76"/>
    </row>
    <row r="25" spans="3:24" x14ac:dyDescent="0.3">
      <c r="C25" s="11"/>
      <c r="E25" s="1" t="s">
        <v>24</v>
      </c>
      <c r="F25" s="73" t="s">
        <v>74</v>
      </c>
      <c r="G25" s="74" t="s">
        <v>96</v>
      </c>
      <c r="H25" s="1">
        <v>44000</v>
      </c>
      <c r="I25" s="9">
        <v>23.656500000000001</v>
      </c>
      <c r="J25" s="9">
        <v>90.459299999999999</v>
      </c>
      <c r="K25" s="1">
        <v>30.6</v>
      </c>
      <c r="L25" s="1">
        <v>0.17</v>
      </c>
      <c r="M25" s="2">
        <f t="shared" si="5"/>
        <v>0.37425073489317673</v>
      </c>
      <c r="N25" s="2">
        <f t="shared" si="6"/>
        <v>0.51432724652056727</v>
      </c>
      <c r="O25" s="3">
        <v>10.199999999999999</v>
      </c>
      <c r="P25" s="4">
        <f t="shared" si="7"/>
        <v>12.056173690663645</v>
      </c>
      <c r="Q25" s="2">
        <f t="shared" si="8"/>
        <v>7.9357220463999969</v>
      </c>
      <c r="R25" s="3">
        <v>0.73</v>
      </c>
      <c r="S25" s="4">
        <f t="shared" si="0"/>
        <v>7.2057220463999965</v>
      </c>
      <c r="T25" s="5">
        <f t="shared" si="1"/>
        <v>0.46199323335401637</v>
      </c>
      <c r="U25" s="4">
        <f t="shared" si="2"/>
        <v>7.3798974728346094</v>
      </c>
      <c r="V25" s="4">
        <f t="shared" si="3"/>
        <v>0.5558245735653875</v>
      </c>
      <c r="W25" s="4">
        <f t="shared" si="4"/>
        <v>6.7857566115037935</v>
      </c>
      <c r="X25" s="76"/>
    </row>
    <row r="26" spans="3:24" x14ac:dyDescent="0.3">
      <c r="C26" s="11"/>
      <c r="E26" s="1" t="s">
        <v>25</v>
      </c>
      <c r="F26" s="73" t="s">
        <v>74</v>
      </c>
      <c r="G26" s="74" t="s">
        <v>97</v>
      </c>
      <c r="H26" s="1">
        <v>46200</v>
      </c>
      <c r="I26" s="9">
        <v>23.6417</v>
      </c>
      <c r="J26" s="9">
        <v>90.472099999999998</v>
      </c>
      <c r="K26" s="1">
        <v>31.2</v>
      </c>
      <c r="L26" s="1">
        <v>0.18</v>
      </c>
      <c r="M26" s="2">
        <f t="shared" si="5"/>
        <v>0.38470751569380357</v>
      </c>
      <c r="N26" s="2">
        <f t="shared" si="6"/>
        <v>0.52169840109293819</v>
      </c>
      <c r="O26" s="3">
        <v>5.8</v>
      </c>
      <c r="P26" s="4">
        <f t="shared" si="7"/>
        <v>6.7925106829472366</v>
      </c>
      <c r="Q26" s="2">
        <f t="shared" si="8"/>
        <v>7.874328371199999</v>
      </c>
      <c r="R26" s="3">
        <v>2.25</v>
      </c>
      <c r="S26" s="4">
        <f t="shared" si="0"/>
        <v>5.624328371199999</v>
      </c>
      <c r="T26" s="5">
        <f t="shared" si="1"/>
        <v>-0.32658110064884255</v>
      </c>
      <c r="U26" s="4">
        <f t="shared" si="2"/>
        <v>5.6793654680567514</v>
      </c>
      <c r="V26" s="4">
        <f t="shared" si="3"/>
        <v>2.1949629031432476</v>
      </c>
      <c r="W26" s="4">
        <f t="shared" si="4"/>
        <v>-5.0789892772907992</v>
      </c>
      <c r="X26" s="76"/>
    </row>
    <row r="27" spans="3:24" x14ac:dyDescent="0.3">
      <c r="C27" s="11"/>
      <c r="E27" s="1" t="s">
        <v>26</v>
      </c>
      <c r="F27" s="73" t="s">
        <v>74</v>
      </c>
      <c r="G27" s="74" t="s">
        <v>98</v>
      </c>
      <c r="H27" s="1">
        <v>48400</v>
      </c>
      <c r="I27" s="9">
        <v>23.6312</v>
      </c>
      <c r="J27" s="9">
        <v>90.460700000000003</v>
      </c>
      <c r="K27" s="1">
        <v>30.3</v>
      </c>
      <c r="L27" s="1">
        <v>0.19</v>
      </c>
      <c r="M27" s="2">
        <f t="shared" si="5"/>
        <v>0.36912941745959815</v>
      </c>
      <c r="N27" s="2">
        <f t="shared" si="6"/>
        <v>0.51068081724910319</v>
      </c>
      <c r="O27" s="3">
        <v>6.4</v>
      </c>
      <c r="P27" s="4">
        <f t="shared" si="7"/>
        <v>7.6005287639268779</v>
      </c>
      <c r="Q27" s="2">
        <f t="shared" si="8"/>
        <v>7.9668952558000008</v>
      </c>
      <c r="R27" s="3">
        <v>1.94</v>
      </c>
      <c r="S27" s="4">
        <f t="shared" si="0"/>
        <v>6.0268952558000013</v>
      </c>
      <c r="T27" s="5">
        <f t="shared" si="1"/>
        <v>-0.26789265215281877</v>
      </c>
      <c r="U27" s="4">
        <f t="shared" si="2"/>
        <v>6.0647732847283882</v>
      </c>
      <c r="V27" s="4">
        <f t="shared" si="3"/>
        <v>1.9021219710716126</v>
      </c>
      <c r="W27" s="4">
        <f t="shared" si="4"/>
        <v>-4.3977257777406731</v>
      </c>
      <c r="X27" s="76"/>
    </row>
    <row r="28" spans="3:24" x14ac:dyDescent="0.3">
      <c r="C28" s="11"/>
      <c r="E28" s="1" t="s">
        <v>27</v>
      </c>
      <c r="F28" s="73" t="s">
        <v>74</v>
      </c>
      <c r="G28" s="74" t="s">
        <v>99</v>
      </c>
      <c r="H28" s="1">
        <v>50600</v>
      </c>
      <c r="I28" s="9">
        <v>23.620200000000001</v>
      </c>
      <c r="J28" s="9">
        <v>90.456900000000005</v>
      </c>
      <c r="K28" s="1">
        <v>30.8</v>
      </c>
      <c r="L28" s="1">
        <v>0.18</v>
      </c>
      <c r="M28" s="2">
        <f t="shared" si="5"/>
        <v>0.37770436004269692</v>
      </c>
      <c r="N28" s="2">
        <f t="shared" si="6"/>
        <v>0.51677265275627826</v>
      </c>
      <c r="O28" s="3">
        <v>7.3</v>
      </c>
      <c r="P28" s="4">
        <f t="shared" si="7"/>
        <v>8.6016428906089217</v>
      </c>
      <c r="Q28" s="2">
        <f t="shared" si="8"/>
        <v>7.9151189247999989</v>
      </c>
      <c r="R28" s="3">
        <v>1.99</v>
      </c>
      <c r="S28" s="4">
        <f t="shared" si="0"/>
        <v>5.9251189247999987</v>
      </c>
      <c r="T28" s="5">
        <f t="shared" si="1"/>
        <v>0.15074859545028682</v>
      </c>
      <c r="U28" s="4">
        <f t="shared" si="2"/>
        <v>5.9389328324311643</v>
      </c>
      <c r="V28" s="4">
        <f t="shared" si="3"/>
        <v>1.9761860923688346</v>
      </c>
      <c r="W28" s="4">
        <f t="shared" si="4"/>
        <v>2.3444421564428604</v>
      </c>
      <c r="X28" s="76"/>
    </row>
    <row r="29" spans="3:24" x14ac:dyDescent="0.3">
      <c r="C29" s="11"/>
      <c r="E29" s="1" t="s">
        <v>28</v>
      </c>
      <c r="F29" s="73" t="s">
        <v>74</v>
      </c>
      <c r="G29" s="74" t="s">
        <v>100</v>
      </c>
      <c r="H29" s="1">
        <v>52800</v>
      </c>
      <c r="I29" s="9">
        <v>23.6038</v>
      </c>
      <c r="J29" s="9">
        <v>90.465900000000005</v>
      </c>
      <c r="K29" s="1">
        <v>31</v>
      </c>
      <c r="L29" s="1">
        <v>0.18</v>
      </c>
      <c r="M29" s="2">
        <f t="shared" si="5"/>
        <v>0.38118985560838808</v>
      </c>
      <c r="N29" s="2">
        <f t="shared" si="6"/>
        <v>0.51922968585348284</v>
      </c>
      <c r="O29" s="3">
        <v>4.0999999999999996</v>
      </c>
      <c r="P29" s="4">
        <f t="shared" si="7"/>
        <v>4.8162247313430351</v>
      </c>
      <c r="Q29" s="2">
        <f t="shared" si="8"/>
        <v>7.8946553999999995</v>
      </c>
      <c r="R29" s="3">
        <v>3.83</v>
      </c>
      <c r="S29" s="4">
        <f t="shared" si="0"/>
        <v>4.0646553999999995</v>
      </c>
      <c r="T29" s="5">
        <f t="shared" si="1"/>
        <v>-0.40340106255397573</v>
      </c>
      <c r="U29" s="4">
        <f t="shared" si="2"/>
        <v>4.1234823593636802</v>
      </c>
      <c r="V29" s="4">
        <f t="shared" si="3"/>
        <v>3.7711730406363193</v>
      </c>
      <c r="W29" s="4">
        <f t="shared" si="4"/>
        <v>-6.2736933248394307</v>
      </c>
      <c r="X29" s="76"/>
    </row>
    <row r="30" spans="3:24" x14ac:dyDescent="0.3">
      <c r="C30" s="11"/>
      <c r="E30" s="1" t="s">
        <v>29</v>
      </c>
      <c r="F30" s="73" t="s">
        <v>74</v>
      </c>
      <c r="G30" s="74" t="s">
        <v>101</v>
      </c>
      <c r="H30" s="1">
        <v>55000</v>
      </c>
      <c r="I30" s="9">
        <v>23.595800000000001</v>
      </c>
      <c r="J30" s="9">
        <v>90.474900000000005</v>
      </c>
      <c r="K30" s="1">
        <v>31.5</v>
      </c>
      <c r="L30" s="1">
        <v>0.2</v>
      </c>
      <c r="M30" s="2">
        <f t="shared" si="5"/>
        <v>0.39004496433311997</v>
      </c>
      <c r="N30" s="2">
        <f t="shared" si="6"/>
        <v>0.52542349954262868</v>
      </c>
      <c r="O30" s="3">
        <v>6.9</v>
      </c>
      <c r="P30" s="4">
        <f t="shared" si="7"/>
        <v>8.0444975363777829</v>
      </c>
      <c r="Q30" s="2">
        <f t="shared" si="8"/>
        <v>7.844086974999998</v>
      </c>
      <c r="R30" s="3">
        <v>2.4700000000000002</v>
      </c>
      <c r="S30" s="4">
        <f t="shared" si="0"/>
        <v>5.3740869749999973</v>
      </c>
      <c r="T30" s="5">
        <f t="shared" si="1"/>
        <v>0.25224701439440383</v>
      </c>
      <c r="U30" s="4">
        <f t="shared" si="2"/>
        <v>5.4122682118673922</v>
      </c>
      <c r="V30" s="4">
        <f t="shared" si="3"/>
        <v>2.4318187631326058</v>
      </c>
      <c r="W30" s="4">
        <f t="shared" si="4"/>
        <v>4.3588284087352989</v>
      </c>
      <c r="X30" s="76"/>
    </row>
    <row r="31" spans="3:24" ht="27.6" x14ac:dyDescent="0.3">
      <c r="C31" s="11"/>
      <c r="E31" s="1" t="s">
        <v>30</v>
      </c>
      <c r="F31" s="73" t="s">
        <v>75</v>
      </c>
      <c r="G31" s="74" t="s">
        <v>102</v>
      </c>
      <c r="H31" s="1">
        <v>57200</v>
      </c>
      <c r="I31" s="9">
        <v>23.5794</v>
      </c>
      <c r="J31" s="9">
        <v>90.504499999999993</v>
      </c>
      <c r="K31" s="1">
        <v>32.4</v>
      </c>
      <c r="L31" s="1">
        <v>0.18</v>
      </c>
      <c r="M31" s="2">
        <f t="shared" si="5"/>
        <v>0.4065057460609906</v>
      </c>
      <c r="N31" s="2">
        <f t="shared" si="6"/>
        <v>0.53675914651467538</v>
      </c>
      <c r="O31" s="3">
        <v>4.3</v>
      </c>
      <c r="P31" s="4">
        <f t="shared" si="7"/>
        <v>4.9483953678398418</v>
      </c>
      <c r="Q31" s="2">
        <f t="shared" si="8"/>
        <v>7.7550589696000003</v>
      </c>
      <c r="R31" s="3">
        <v>4.3</v>
      </c>
      <c r="S31" s="4">
        <f t="shared" si="0"/>
        <v>3.4550589696000005</v>
      </c>
      <c r="T31" s="5">
        <f t="shared" si="1"/>
        <v>0.18965860474315613</v>
      </c>
      <c r="U31" s="4">
        <f t="shared" si="2"/>
        <v>3.4695420953291407</v>
      </c>
      <c r="V31" s="4">
        <f t="shared" si="3"/>
        <v>4.2855168742708596</v>
      </c>
      <c r="W31" s="4">
        <f t="shared" si="4"/>
        <v>2.9495706209655639</v>
      </c>
      <c r="X31" s="76"/>
    </row>
    <row r="32" spans="3:24" x14ac:dyDescent="0.3">
      <c r="C32" s="11"/>
      <c r="E32" s="1" t="s">
        <v>31</v>
      </c>
      <c r="F32" s="73" t="s">
        <v>75</v>
      </c>
      <c r="G32" s="74" t="s">
        <v>103</v>
      </c>
      <c r="H32" s="1">
        <v>59400</v>
      </c>
      <c r="I32" s="9">
        <v>23.5703</v>
      </c>
      <c r="J32" s="9">
        <v>90.5154</v>
      </c>
      <c r="K32" s="1">
        <v>30.1</v>
      </c>
      <c r="L32" s="1">
        <v>0.18</v>
      </c>
      <c r="M32" s="2">
        <f t="shared" si="5"/>
        <v>0.36575419923489438</v>
      </c>
      <c r="N32" s="2">
        <f t="shared" si="6"/>
        <v>0.50826423802747012</v>
      </c>
      <c r="O32" s="3">
        <v>6.9</v>
      </c>
      <c r="P32" s="4">
        <f t="shared" si="7"/>
        <v>8.2205616721384906</v>
      </c>
      <c r="Q32" s="2">
        <f t="shared" si="8"/>
        <v>7.9878609354000005</v>
      </c>
      <c r="R32" s="3">
        <v>1.73</v>
      </c>
      <c r="S32" s="4">
        <f t="shared" si="0"/>
        <v>6.2578609354000001</v>
      </c>
      <c r="T32" s="5">
        <f t="shared" si="1"/>
        <v>-0.15997993862929283</v>
      </c>
      <c r="U32" s="4">
        <f t="shared" si="2"/>
        <v>6.2720663337578397</v>
      </c>
      <c r="V32" s="4">
        <f t="shared" si="3"/>
        <v>1.7157946016421608</v>
      </c>
      <c r="W32" s="4">
        <f t="shared" si="4"/>
        <v>-2.488008005562762</v>
      </c>
      <c r="X32" s="76"/>
    </row>
    <row r="33" spans="3:24" x14ac:dyDescent="0.3">
      <c r="C33" s="11"/>
      <c r="E33" s="1" t="s">
        <v>32</v>
      </c>
      <c r="F33" s="73" t="s">
        <v>75</v>
      </c>
      <c r="G33" s="74" t="s">
        <v>104</v>
      </c>
      <c r="H33" s="1">
        <v>61600</v>
      </c>
      <c r="I33" s="9">
        <v>23.575800000000001</v>
      </c>
      <c r="J33" s="9">
        <v>90.517499999999998</v>
      </c>
      <c r="K33" s="1">
        <v>30.2</v>
      </c>
      <c r="L33" s="1">
        <v>0.16</v>
      </c>
      <c r="M33" s="2">
        <f t="shared" si="5"/>
        <v>0.3674379328498602</v>
      </c>
      <c r="N33" s="2">
        <f t="shared" si="6"/>
        <v>0.50947109481732245</v>
      </c>
      <c r="O33" s="3">
        <v>9.6</v>
      </c>
      <c r="P33" s="4">
        <f t="shared" si="7"/>
        <v>11.418983899415256</v>
      </c>
      <c r="Q33" s="2">
        <f t="shared" si="8"/>
        <v>7.977359483199999</v>
      </c>
      <c r="R33" s="3">
        <v>1.0900000000000001</v>
      </c>
      <c r="S33" s="4">
        <f t="shared" si="0"/>
        <v>6.8873594831999991</v>
      </c>
      <c r="T33" s="5">
        <f t="shared" si="1"/>
        <v>0.43199555514026938</v>
      </c>
      <c r="U33" s="4">
        <f t="shared" si="2"/>
        <v>7.0268844228998812</v>
      </c>
      <c r="V33" s="4">
        <f t="shared" si="3"/>
        <v>0.95047506030011775</v>
      </c>
      <c r="W33" s="4">
        <f t="shared" si="4"/>
        <v>5.9719065542590846</v>
      </c>
      <c r="X33" s="76"/>
    </row>
    <row r="34" spans="3:24" x14ac:dyDescent="0.3">
      <c r="C34" s="11"/>
      <c r="E34" s="1" t="s">
        <v>33</v>
      </c>
      <c r="F34" s="73" t="s">
        <v>75</v>
      </c>
      <c r="G34" s="74" t="s">
        <v>105</v>
      </c>
      <c r="H34" s="1">
        <v>63800</v>
      </c>
      <c r="I34" s="9">
        <v>23.5822</v>
      </c>
      <c r="J34" s="9">
        <v>90.512500000000003</v>
      </c>
      <c r="K34" s="1">
        <v>30.2</v>
      </c>
      <c r="L34" s="1">
        <v>0.17</v>
      </c>
      <c r="M34" s="2">
        <f t="shared" si="5"/>
        <v>0.3674379328498602</v>
      </c>
      <c r="N34" s="2">
        <f t="shared" si="6"/>
        <v>0.50947109481732245</v>
      </c>
      <c r="O34" s="3">
        <v>8.6999999999999993</v>
      </c>
      <c r="P34" s="4">
        <f t="shared" si="7"/>
        <v>10.348454158845076</v>
      </c>
      <c r="Q34" s="2">
        <f t="shared" si="8"/>
        <v>7.977359483199999</v>
      </c>
      <c r="R34" s="3">
        <v>1.24</v>
      </c>
      <c r="S34" s="4">
        <f t="shared" si="0"/>
        <v>6.7373594831999988</v>
      </c>
      <c r="T34" s="5">
        <f t="shared" si="1"/>
        <v>0.25991354931634314</v>
      </c>
      <c r="U34" s="4">
        <f t="shared" si="2"/>
        <v>6.7837242617747977</v>
      </c>
      <c r="V34" s="4">
        <f t="shared" si="3"/>
        <v>1.1936352214252013</v>
      </c>
      <c r="W34" s="4">
        <f t="shared" si="4"/>
        <v>3.8176102123584483</v>
      </c>
      <c r="X34" s="76"/>
    </row>
    <row r="35" spans="3:24" x14ac:dyDescent="0.3">
      <c r="C35" s="11"/>
      <c r="E35" s="1" t="s">
        <v>34</v>
      </c>
      <c r="F35" s="73" t="s">
        <v>75</v>
      </c>
      <c r="G35" s="73" t="s">
        <v>106</v>
      </c>
      <c r="H35" s="1">
        <v>66000</v>
      </c>
      <c r="I35" s="9">
        <v>23.605799999999999</v>
      </c>
      <c r="J35" s="9">
        <v>90.507499999999993</v>
      </c>
      <c r="K35" s="1">
        <v>30.2</v>
      </c>
      <c r="L35" s="1">
        <v>0.16</v>
      </c>
      <c r="M35" s="2">
        <f t="shared" si="5"/>
        <v>0.3674379328498602</v>
      </c>
      <c r="N35" s="2">
        <f t="shared" si="6"/>
        <v>0.50947109481732245</v>
      </c>
      <c r="O35" s="3">
        <v>10.9</v>
      </c>
      <c r="P35" s="4">
        <f t="shared" si="7"/>
        <v>12.965304635794407</v>
      </c>
      <c r="Q35" s="2">
        <f t="shared" si="8"/>
        <v>7.977359483199999</v>
      </c>
      <c r="R35" s="3">
        <v>0.49</v>
      </c>
      <c r="S35" s="4">
        <f t="shared" si="0"/>
        <v>7.4873594831999988</v>
      </c>
      <c r="T35" s="5">
        <f t="shared" si="1"/>
        <v>0.52247145779709248</v>
      </c>
      <c r="U35" s="4">
        <f t="shared" si="2"/>
        <v>7.7175911143624614</v>
      </c>
      <c r="V35" s="4">
        <f t="shared" si="3"/>
        <v>0.25976836883753762</v>
      </c>
      <c r="W35" s="4">
        <f t="shared" si="4"/>
        <v>7.2226454325870062</v>
      </c>
      <c r="X35" s="76"/>
    </row>
    <row r="36" spans="3:24" ht="27.6" x14ac:dyDescent="0.3">
      <c r="C36" s="11"/>
      <c r="E36" s="1" t="s">
        <v>35</v>
      </c>
      <c r="F36" s="73" t="s">
        <v>75</v>
      </c>
      <c r="G36" s="74" t="s">
        <v>107</v>
      </c>
      <c r="H36" s="1">
        <v>68200</v>
      </c>
      <c r="I36" s="9">
        <v>23.6221</v>
      </c>
      <c r="J36" s="9">
        <v>90.510300000000001</v>
      </c>
      <c r="K36" s="1">
        <v>30.1</v>
      </c>
      <c r="L36" s="1">
        <v>0.16</v>
      </c>
      <c r="M36" s="2">
        <f t="shared" si="5"/>
        <v>0.36575419923489438</v>
      </c>
      <c r="N36" s="2">
        <f t="shared" si="6"/>
        <v>0.50826423802747012</v>
      </c>
      <c r="O36" s="3">
        <v>16.100000000000001</v>
      </c>
      <c r="P36" s="4">
        <f t="shared" si="7"/>
        <v>19.181310568323145</v>
      </c>
      <c r="Q36" s="2">
        <f t="shared" si="8"/>
        <v>7.9878609354000005</v>
      </c>
      <c r="R36" s="3">
        <v>0.44</v>
      </c>
      <c r="S36" s="4">
        <f t="shared" si="0"/>
        <v>7.5478609354000001</v>
      </c>
      <c r="T36" s="5">
        <f t="shared" si="1"/>
        <v>1.1410161761556616</v>
      </c>
      <c r="U36" s="4">
        <f t="shared" si="2"/>
        <v>9.0939400670927775</v>
      </c>
      <c r="V36" s="4">
        <f t="shared" si="3"/>
        <v>-1.1060791316927769</v>
      </c>
      <c r="W36" s="4">
        <f t="shared" si="4"/>
        <v>15.773407619175867</v>
      </c>
      <c r="X36" s="76"/>
    </row>
    <row r="37" spans="3:24" ht="27.6" x14ac:dyDescent="0.3">
      <c r="C37" s="11"/>
      <c r="E37" s="1" t="s">
        <v>36</v>
      </c>
      <c r="F37" s="73" t="s">
        <v>75</v>
      </c>
      <c r="G37" s="74" t="s">
        <v>108</v>
      </c>
      <c r="H37" s="1">
        <v>70400</v>
      </c>
      <c r="I37" s="9">
        <v>23.640499999999999</v>
      </c>
      <c r="J37" s="9">
        <v>90.520399999999995</v>
      </c>
      <c r="K37" s="1">
        <v>30.2</v>
      </c>
      <c r="L37" s="1">
        <v>0.15</v>
      </c>
      <c r="M37" s="2">
        <f t="shared" si="5"/>
        <v>0.3674379328498602</v>
      </c>
      <c r="N37" s="2">
        <f t="shared" si="6"/>
        <v>0.50947109481732245</v>
      </c>
      <c r="O37" s="3">
        <v>10.6</v>
      </c>
      <c r="P37" s="4">
        <f t="shared" si="7"/>
        <v>12.608461388937679</v>
      </c>
      <c r="Q37" s="2">
        <f t="shared" si="8"/>
        <v>7.977359483199999</v>
      </c>
      <c r="R37" s="3">
        <v>0.52</v>
      </c>
      <c r="S37" s="4">
        <f t="shared" si="0"/>
        <v>7.4573594831999994</v>
      </c>
      <c r="T37" s="5">
        <f t="shared" si="1"/>
        <v>0.47337273729264046</v>
      </c>
      <c r="U37" s="4">
        <f t="shared" si="2"/>
        <v>7.6417937315402984</v>
      </c>
      <c r="V37" s="4">
        <f t="shared" si="3"/>
        <v>0.3355657516597006</v>
      </c>
      <c r="W37" s="4">
        <f t="shared" si="4"/>
        <v>6.1349106753126197</v>
      </c>
      <c r="X37" s="76"/>
    </row>
    <row r="38" spans="3:24" x14ac:dyDescent="0.3">
      <c r="C38" s="11"/>
      <c r="E38" s="1" t="s">
        <v>37</v>
      </c>
      <c r="F38" s="73" t="s">
        <v>75</v>
      </c>
      <c r="G38" s="74" t="s">
        <v>109</v>
      </c>
      <c r="H38" s="1">
        <v>72600</v>
      </c>
      <c r="I38" s="9">
        <v>23.666499999999999</v>
      </c>
      <c r="J38" s="9">
        <v>90.528099999999995</v>
      </c>
      <c r="K38" s="1">
        <v>30.3</v>
      </c>
      <c r="L38" s="1">
        <v>0.15</v>
      </c>
      <c r="M38" s="2">
        <f t="shared" si="5"/>
        <v>0.36912941745959815</v>
      </c>
      <c r="N38" s="2">
        <f t="shared" si="6"/>
        <v>0.51068081724910319</v>
      </c>
      <c r="O38" s="3">
        <v>10.7</v>
      </c>
      <c r="P38" s="4">
        <f t="shared" si="7"/>
        <v>12.707134027190248</v>
      </c>
      <c r="Q38" s="2">
        <f t="shared" si="8"/>
        <v>7.9668952558000008</v>
      </c>
      <c r="R38" s="3">
        <v>0.53</v>
      </c>
      <c r="S38" s="4">
        <f t="shared" si="0"/>
        <v>7.4368952558000005</v>
      </c>
      <c r="T38" s="5">
        <f t="shared" si="1"/>
        <v>0.4976377737477648</v>
      </c>
      <c r="U38" s="4">
        <f t="shared" si="2"/>
        <v>7.6437812656605546</v>
      </c>
      <c r="V38" s="4">
        <f t="shared" si="3"/>
        <v>0.32311399013944619</v>
      </c>
      <c r="W38" s="4">
        <f t="shared" si="4"/>
        <v>6.4493855477710316</v>
      </c>
      <c r="X38" s="76"/>
    </row>
    <row r="39" spans="3:24" ht="27.6" x14ac:dyDescent="0.3">
      <c r="C39" s="11"/>
      <c r="E39" s="1" t="s">
        <v>38</v>
      </c>
      <c r="F39" s="73" t="s">
        <v>75</v>
      </c>
      <c r="G39" s="74" t="s">
        <v>110</v>
      </c>
      <c r="H39" s="1">
        <v>74800</v>
      </c>
      <c r="I39" s="9">
        <v>23.676500000000001</v>
      </c>
      <c r="J39" s="9">
        <v>90.532799999999995</v>
      </c>
      <c r="K39" s="1">
        <v>30.2</v>
      </c>
      <c r="L39" s="1">
        <v>0.15</v>
      </c>
      <c r="M39" s="2">
        <f t="shared" si="5"/>
        <v>0.3674379328498602</v>
      </c>
      <c r="N39" s="2">
        <f t="shared" si="6"/>
        <v>0.50947109481732245</v>
      </c>
      <c r="O39" s="3">
        <v>12.3</v>
      </c>
      <c r="P39" s="4">
        <f t="shared" si="7"/>
        <v>14.630573121125797</v>
      </c>
      <c r="Q39" s="2">
        <f t="shared" si="8"/>
        <v>7.977359483199999</v>
      </c>
      <c r="R39" s="3">
        <v>0.28000000000000003</v>
      </c>
      <c r="S39" s="4">
        <f t="shared" si="0"/>
        <v>7.6973594831999987</v>
      </c>
      <c r="T39" s="5">
        <f t="shared" si="1"/>
        <v>0.70021789832845449</v>
      </c>
      <c r="U39" s="4">
        <f t="shared" si="2"/>
        <v>8.1582912686014364</v>
      </c>
      <c r="V39" s="4">
        <f t="shared" si="3"/>
        <v>-0.18093178540143739</v>
      </c>
      <c r="W39" s="4">
        <f t="shared" si="4"/>
        <v>9.0748239623367706</v>
      </c>
      <c r="X39" s="76"/>
    </row>
    <row r="40" spans="3:24" x14ac:dyDescent="0.3">
      <c r="C40" s="11"/>
      <c r="E40" s="1" t="s">
        <v>39</v>
      </c>
      <c r="F40" s="73" t="s">
        <v>75</v>
      </c>
      <c r="G40" s="74" t="s">
        <v>111</v>
      </c>
      <c r="H40" s="1">
        <v>77000</v>
      </c>
      <c r="I40" s="9">
        <v>23.7011</v>
      </c>
      <c r="J40" s="9">
        <v>90.521199999999993</v>
      </c>
      <c r="K40" s="1">
        <v>30.3</v>
      </c>
      <c r="L40" s="1">
        <v>0.14000000000000001</v>
      </c>
      <c r="M40" s="2">
        <f t="shared" si="5"/>
        <v>0.36912941745959815</v>
      </c>
      <c r="N40" s="2">
        <f t="shared" si="6"/>
        <v>0.51068081724910319</v>
      </c>
      <c r="O40" s="3">
        <v>11.4</v>
      </c>
      <c r="P40" s="4">
        <f t="shared" si="7"/>
        <v>13.538441860744751</v>
      </c>
      <c r="Q40" s="2">
        <f t="shared" si="8"/>
        <v>7.9668952558000008</v>
      </c>
      <c r="R40" s="3">
        <v>0.49</v>
      </c>
      <c r="S40" s="4">
        <f t="shared" si="0"/>
        <v>7.4768952558000006</v>
      </c>
      <c r="T40" s="5">
        <f t="shared" si="1"/>
        <v>0.61191522444140523</v>
      </c>
      <c r="U40" s="4">
        <f t="shared" si="2"/>
        <v>7.807487660150719</v>
      </c>
      <c r="V40" s="4">
        <f t="shared" si="3"/>
        <v>0.15940759564928175</v>
      </c>
      <c r="W40" s="4">
        <f t="shared" si="4"/>
        <v>7.4017265548432389</v>
      </c>
      <c r="X40" s="76"/>
    </row>
    <row r="41" spans="3:24" x14ac:dyDescent="0.3">
      <c r="C41" s="11"/>
      <c r="E41" s="1" t="s">
        <v>40</v>
      </c>
      <c r="F41" s="73" t="s">
        <v>75</v>
      </c>
      <c r="G41" s="3" t="s">
        <v>112</v>
      </c>
      <c r="H41" s="1">
        <v>79200</v>
      </c>
      <c r="I41" s="9">
        <v>23.715900000000001</v>
      </c>
      <c r="J41" s="9">
        <v>90.506799999999998</v>
      </c>
      <c r="K41" s="1">
        <v>30.4</v>
      </c>
      <c r="L41" s="1">
        <v>0.14000000000000001</v>
      </c>
      <c r="M41" s="2">
        <f t="shared" si="5"/>
        <v>0.37082868874547703</v>
      </c>
      <c r="N41" s="2">
        <f t="shared" si="6"/>
        <v>0.5118934121271852</v>
      </c>
      <c r="O41" s="3">
        <v>9.6</v>
      </c>
      <c r="P41" s="4">
        <f t="shared" si="7"/>
        <v>11.382730420692903</v>
      </c>
      <c r="Q41" s="2">
        <f t="shared" si="8"/>
        <v>7.9564678655999996</v>
      </c>
      <c r="R41" s="3">
        <v>0.67</v>
      </c>
      <c r="S41" s="4">
        <f t="shared" si="0"/>
        <v>7.2864678655999997</v>
      </c>
      <c r="T41" s="5">
        <f t="shared" si="1"/>
        <v>0.3070298078056492</v>
      </c>
      <c r="U41" s="4">
        <f t="shared" si="2"/>
        <v>7.3586570647188214</v>
      </c>
      <c r="V41" s="4">
        <f t="shared" si="3"/>
        <v>0.59781080088117822</v>
      </c>
      <c r="W41" s="4">
        <f t="shared" si="4"/>
        <v>3.7138325552171332</v>
      </c>
      <c r="X41" s="76"/>
    </row>
    <row r="42" spans="3:24" x14ac:dyDescent="0.3">
      <c r="C42" s="11"/>
      <c r="E42" s="1" t="s">
        <v>41</v>
      </c>
      <c r="F42" s="73" t="s">
        <v>75</v>
      </c>
      <c r="G42" s="3" t="s">
        <v>113</v>
      </c>
      <c r="H42" s="1">
        <v>81400</v>
      </c>
      <c r="I42" s="9">
        <v>23.731300000000001</v>
      </c>
      <c r="J42" s="9">
        <v>90.508399999999995</v>
      </c>
      <c r="K42" s="1">
        <v>30.1</v>
      </c>
      <c r="L42" s="1">
        <v>0.13</v>
      </c>
      <c r="M42" s="2">
        <f t="shared" si="5"/>
        <v>0.36575419923489438</v>
      </c>
      <c r="N42" s="2">
        <f t="shared" si="6"/>
        <v>0.50826423802747012</v>
      </c>
      <c r="O42" s="3">
        <v>9.1</v>
      </c>
      <c r="P42" s="4">
        <f t="shared" si="7"/>
        <v>10.841610321226122</v>
      </c>
      <c r="Q42" s="2">
        <f t="shared" si="8"/>
        <v>7.9878609354000005</v>
      </c>
      <c r="R42" s="3">
        <v>0.84</v>
      </c>
      <c r="S42" s="4">
        <f t="shared" si="0"/>
        <v>7.1478609354000007</v>
      </c>
      <c r="T42" s="5">
        <f t="shared" si="1"/>
        <v>0.2254979474107604</v>
      </c>
      <c r="U42" s="4">
        <f t="shared" si="2"/>
        <v>7.1841939204381315</v>
      </c>
      <c r="V42" s="4">
        <f t="shared" si="3"/>
        <v>0.80366701496186899</v>
      </c>
      <c r="W42" s="4">
        <f t="shared" si="4"/>
        <v>2.5327929453176607</v>
      </c>
      <c r="X42" s="76"/>
    </row>
    <row r="43" spans="3:24" x14ac:dyDescent="0.3">
      <c r="W43" s="11"/>
      <c r="X43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79BF-58BD-4123-B8A6-F232441E222E}">
  <dimension ref="A1:W237"/>
  <sheetViews>
    <sheetView topLeftCell="A172" zoomScale="50" zoomScaleNormal="50" workbookViewId="0">
      <selection activeCell="C4" sqref="C4"/>
    </sheetView>
  </sheetViews>
  <sheetFormatPr defaultRowHeight="14.4" x14ac:dyDescent="0.3"/>
  <cols>
    <col min="2" max="2" width="12.33203125" customWidth="1"/>
    <col min="3" max="3" width="10.6640625" customWidth="1"/>
    <col min="4" max="4" width="10.5546875" customWidth="1"/>
    <col min="5" max="5" width="11.44140625" customWidth="1"/>
    <col min="7" max="7" width="6.5546875" customWidth="1"/>
    <col min="8" max="8" width="12" customWidth="1"/>
    <col min="14" max="14" width="8.5546875" customWidth="1"/>
  </cols>
  <sheetData>
    <row r="1" spans="1:23" ht="13.2" customHeight="1" x14ac:dyDescent="0.3"/>
    <row r="2" spans="1:23" ht="25.2" customHeight="1" x14ac:dyDescent="0.3">
      <c r="A2" s="79" t="s">
        <v>53</v>
      </c>
      <c r="B2" s="79"/>
      <c r="C2" s="79"/>
      <c r="D2" s="79"/>
      <c r="E2" s="79"/>
      <c r="F2" s="6"/>
    </row>
    <row r="3" spans="1:23" ht="18.600000000000001" thickBot="1" x14ac:dyDescent="0.35">
      <c r="A3" s="24"/>
      <c r="B3" s="24"/>
      <c r="C3" s="24"/>
      <c r="D3" s="24"/>
      <c r="E3" s="11"/>
      <c r="H3" s="71" t="s">
        <v>62</v>
      </c>
      <c r="I3" s="71" t="s">
        <v>63</v>
      </c>
      <c r="J3" s="71" t="s">
        <v>64</v>
      </c>
      <c r="K3" s="71" t="s">
        <v>65</v>
      </c>
      <c r="L3" s="71" t="s">
        <v>54</v>
      </c>
      <c r="M3" s="71" t="s">
        <v>66</v>
      </c>
      <c r="O3" s="72" t="s">
        <v>61</v>
      </c>
      <c r="P3" s="71" t="s">
        <v>67</v>
      </c>
      <c r="Q3" s="71" t="s">
        <v>68</v>
      </c>
    </row>
    <row r="4" spans="1:23" ht="31.8" thickBot="1" x14ac:dyDescent="0.35">
      <c r="A4" s="21" t="s">
        <v>0</v>
      </c>
      <c r="B4" s="25" t="s">
        <v>55</v>
      </c>
      <c r="C4" s="26" t="s">
        <v>56</v>
      </c>
      <c r="D4" s="27" t="s">
        <v>115</v>
      </c>
      <c r="E4" s="26" t="s">
        <v>57</v>
      </c>
      <c r="F4" s="11"/>
      <c r="H4" s="20">
        <v>0.189</v>
      </c>
      <c r="I4" s="20">
        <v>0.4065057460609906</v>
      </c>
      <c r="J4" s="20">
        <v>0.53675914651467538</v>
      </c>
      <c r="K4" s="20">
        <v>4.9483953678398418</v>
      </c>
      <c r="L4" s="20">
        <v>2.718</v>
      </c>
      <c r="M4" s="20">
        <f>((I4/J4)*(K4*L4^(-I4*H4)))</f>
        <v>3.4704710120994426</v>
      </c>
      <c r="O4" s="20">
        <f>M4</f>
        <v>3.4704710120994426</v>
      </c>
      <c r="P4" s="20">
        <v>7.7549999999999999</v>
      </c>
      <c r="Q4" s="20">
        <f>P4-O4</f>
        <v>4.2845289879005577</v>
      </c>
    </row>
    <row r="5" spans="1:23" ht="15" customHeight="1" x14ac:dyDescent="0.3">
      <c r="A5" s="80" t="s">
        <v>4</v>
      </c>
      <c r="B5" s="23">
        <v>0</v>
      </c>
      <c r="C5" s="37">
        <v>7.9050000000000002</v>
      </c>
      <c r="D5" s="38">
        <v>0</v>
      </c>
      <c r="E5" s="39">
        <v>6.98</v>
      </c>
      <c r="F5" s="8"/>
      <c r="O5" s="8"/>
      <c r="W5" s="19">
        <v>0</v>
      </c>
    </row>
    <row r="6" spans="1:23" ht="15" customHeight="1" x14ac:dyDescent="0.3">
      <c r="A6" s="77" t="s">
        <v>5</v>
      </c>
      <c r="B6" s="22">
        <v>1</v>
      </c>
      <c r="C6" s="40">
        <v>7.9050000000000002</v>
      </c>
      <c r="D6" s="41">
        <v>0.51</v>
      </c>
      <c r="E6" s="42">
        <v>0.7</v>
      </c>
      <c r="F6" s="8"/>
      <c r="W6" s="18">
        <v>2.5</v>
      </c>
    </row>
    <row r="7" spans="1:23" ht="15" customHeight="1" x14ac:dyDescent="0.3">
      <c r="A7" s="77" t="s">
        <v>6</v>
      </c>
      <c r="B7" s="22">
        <v>2</v>
      </c>
      <c r="C7" s="40">
        <v>7.9050000000000002</v>
      </c>
      <c r="D7" s="43">
        <v>3</v>
      </c>
      <c r="E7" s="44">
        <v>5.1050000000000004</v>
      </c>
      <c r="F7" s="8"/>
      <c r="W7" s="7">
        <v>6</v>
      </c>
    </row>
    <row r="8" spans="1:23" ht="15" customHeight="1" x14ac:dyDescent="0.3">
      <c r="A8" s="77" t="s">
        <v>7</v>
      </c>
      <c r="B8" s="22">
        <v>3</v>
      </c>
      <c r="C8" s="40">
        <v>7.9050000000000002</v>
      </c>
      <c r="D8" s="43">
        <v>6</v>
      </c>
      <c r="E8" s="44">
        <v>7.0060000000000002</v>
      </c>
      <c r="F8" s="8"/>
      <c r="W8" s="7">
        <v>30</v>
      </c>
    </row>
    <row r="9" spans="1:23" ht="15" customHeight="1" thickBot="1" x14ac:dyDescent="0.35">
      <c r="A9" s="78" t="s">
        <v>8</v>
      </c>
      <c r="B9" s="28">
        <v>4</v>
      </c>
      <c r="C9" s="45">
        <v>7.9050000000000002</v>
      </c>
      <c r="D9" s="46">
        <v>26</v>
      </c>
      <c r="E9" s="47">
        <v>7.9039999999999999</v>
      </c>
      <c r="F9" s="8"/>
    </row>
    <row r="10" spans="1:23" ht="14.4" customHeight="1" x14ac:dyDescent="0.3">
      <c r="A10" s="80" t="s">
        <v>5</v>
      </c>
      <c r="B10" s="23">
        <v>0</v>
      </c>
      <c r="C10" s="48">
        <v>8.0950000000000006</v>
      </c>
      <c r="D10" s="49">
        <v>0</v>
      </c>
      <c r="E10" s="50">
        <v>6.7050000000000001</v>
      </c>
    </row>
    <row r="11" spans="1:23" ht="15" customHeight="1" x14ac:dyDescent="0.3">
      <c r="A11" s="77" t="s">
        <v>10</v>
      </c>
      <c r="B11" s="22">
        <v>1</v>
      </c>
      <c r="C11" s="51">
        <v>8.0950000000000006</v>
      </c>
      <c r="D11" s="52">
        <v>0.58899999999999997</v>
      </c>
      <c r="E11" s="53">
        <v>1.1419999999999999</v>
      </c>
    </row>
    <row r="12" spans="1:23" ht="15" customHeight="1" x14ac:dyDescent="0.3">
      <c r="A12" s="77" t="s">
        <v>11</v>
      </c>
      <c r="B12" s="22">
        <v>2</v>
      </c>
      <c r="C12" s="51">
        <v>8.0950000000000006</v>
      </c>
      <c r="D12" s="54">
        <v>3</v>
      </c>
      <c r="E12" s="22">
        <v>5.0970000000000004</v>
      </c>
    </row>
    <row r="13" spans="1:23" ht="15" customHeight="1" x14ac:dyDescent="0.3">
      <c r="A13" s="77" t="s">
        <v>4</v>
      </c>
      <c r="B13" s="22">
        <v>3</v>
      </c>
      <c r="C13" s="51">
        <v>8.0950000000000006</v>
      </c>
      <c r="D13" s="54">
        <v>5</v>
      </c>
      <c r="E13" s="22">
        <v>6.6029999999999998</v>
      </c>
    </row>
    <row r="14" spans="1:23" ht="15" customHeight="1" thickBot="1" x14ac:dyDescent="0.35">
      <c r="A14" s="78" t="s">
        <v>5</v>
      </c>
      <c r="B14" s="28">
        <v>4</v>
      </c>
      <c r="C14" s="55">
        <v>8.0950000000000006</v>
      </c>
      <c r="D14" s="56">
        <v>28</v>
      </c>
      <c r="E14" s="28">
        <v>8.0945</v>
      </c>
    </row>
    <row r="15" spans="1:23" ht="15" customHeight="1" x14ac:dyDescent="0.3">
      <c r="A15" s="80" t="s">
        <v>6</v>
      </c>
      <c r="B15" s="57">
        <v>0</v>
      </c>
      <c r="C15" s="58">
        <v>7.8940000000000001</v>
      </c>
      <c r="D15" s="49">
        <v>0</v>
      </c>
      <c r="E15" s="50">
        <v>6.43</v>
      </c>
    </row>
    <row r="16" spans="1:23" ht="15" customHeight="1" x14ac:dyDescent="0.3">
      <c r="A16" s="77" t="s">
        <v>7</v>
      </c>
      <c r="B16" s="44">
        <v>1</v>
      </c>
      <c r="C16" s="59">
        <v>7.8940000000000001</v>
      </c>
      <c r="D16" s="52">
        <v>0.36399999999999999</v>
      </c>
      <c r="E16" s="53">
        <v>1.3640000000000001</v>
      </c>
    </row>
    <row r="17" spans="1:6" ht="15" customHeight="1" x14ac:dyDescent="0.3">
      <c r="A17" s="77" t="s">
        <v>8</v>
      </c>
      <c r="B17" s="44">
        <v>2</v>
      </c>
      <c r="C17" s="59">
        <v>7.8940000000000001</v>
      </c>
      <c r="D17" s="54">
        <v>3</v>
      </c>
      <c r="E17" s="22">
        <v>5.5019999999999998</v>
      </c>
      <c r="F17" s="8"/>
    </row>
    <row r="18" spans="1:6" ht="15" customHeight="1" x14ac:dyDescent="0.3">
      <c r="A18" s="77" t="s">
        <v>9</v>
      </c>
      <c r="B18" s="44">
        <v>3</v>
      </c>
      <c r="C18" s="59">
        <v>7.8940000000000001</v>
      </c>
      <c r="D18" s="54">
        <v>7</v>
      </c>
      <c r="E18" s="22">
        <v>7.3730000000000002</v>
      </c>
      <c r="F18" s="8"/>
    </row>
    <row r="19" spans="1:6" ht="15" customHeight="1" thickBot="1" x14ac:dyDescent="0.35">
      <c r="A19" s="78" t="s">
        <v>10</v>
      </c>
      <c r="B19" s="47">
        <v>4</v>
      </c>
      <c r="C19" s="45">
        <v>7.8940000000000001</v>
      </c>
      <c r="D19" s="56">
        <v>26</v>
      </c>
      <c r="E19" s="28">
        <v>7.8940000000000001</v>
      </c>
      <c r="F19" s="8"/>
    </row>
    <row r="20" spans="1:6" ht="15" customHeight="1" x14ac:dyDescent="0.3">
      <c r="A20" s="81" t="s">
        <v>7</v>
      </c>
      <c r="B20" s="57">
        <v>0</v>
      </c>
      <c r="C20" s="48">
        <v>7.8840000000000003</v>
      </c>
      <c r="D20" s="49">
        <v>0</v>
      </c>
      <c r="E20" s="50">
        <v>6.274</v>
      </c>
      <c r="F20" s="8"/>
    </row>
    <row r="21" spans="1:6" ht="15" customHeight="1" x14ac:dyDescent="0.3">
      <c r="A21" s="82" t="s">
        <v>4</v>
      </c>
      <c r="B21" s="44">
        <v>1</v>
      </c>
      <c r="C21" s="51">
        <v>7.8840000000000003</v>
      </c>
      <c r="D21" s="52">
        <v>0.32700000000000001</v>
      </c>
      <c r="E21" s="53">
        <v>1.5349999999999999</v>
      </c>
      <c r="F21" s="8"/>
    </row>
    <row r="22" spans="1:6" ht="15" customHeight="1" x14ac:dyDescent="0.3">
      <c r="A22" s="82" t="s">
        <v>5</v>
      </c>
      <c r="B22" s="44">
        <v>2</v>
      </c>
      <c r="C22" s="51">
        <v>7.8840000000000003</v>
      </c>
      <c r="D22" s="54">
        <v>3.1</v>
      </c>
      <c r="E22" s="22">
        <v>5.6849999999999996</v>
      </c>
      <c r="F22" s="8"/>
    </row>
    <row r="23" spans="1:6" ht="15" customHeight="1" x14ac:dyDescent="0.3">
      <c r="A23" s="82" t="s">
        <v>6</v>
      </c>
      <c r="B23" s="44">
        <v>3</v>
      </c>
      <c r="C23" s="51">
        <v>7.8840000000000003</v>
      </c>
      <c r="D23" s="54">
        <v>6.5</v>
      </c>
      <c r="E23" s="22">
        <v>7.2859999999999996</v>
      </c>
    </row>
    <row r="24" spans="1:6" ht="15" customHeight="1" thickBot="1" x14ac:dyDescent="0.35">
      <c r="A24" s="83" t="s">
        <v>7</v>
      </c>
      <c r="B24" s="47">
        <v>4</v>
      </c>
      <c r="C24" s="55">
        <v>7.8840000000000003</v>
      </c>
      <c r="D24" s="56">
        <v>26</v>
      </c>
      <c r="E24" s="28">
        <v>7.8840000000000003</v>
      </c>
    </row>
    <row r="25" spans="1:6" ht="15" customHeight="1" x14ac:dyDescent="0.3">
      <c r="A25" s="77" t="s">
        <v>8</v>
      </c>
      <c r="B25" s="57">
        <v>0</v>
      </c>
      <c r="C25" s="58">
        <v>7.9050000000000002</v>
      </c>
      <c r="D25" s="49">
        <v>0</v>
      </c>
      <c r="E25" s="50">
        <v>6.3739999999999997</v>
      </c>
    </row>
    <row r="26" spans="1:6" ht="15" customHeight="1" x14ac:dyDescent="0.3">
      <c r="A26" s="77" t="s">
        <v>9</v>
      </c>
      <c r="B26" s="44">
        <v>1</v>
      </c>
      <c r="C26" s="59">
        <v>7.9050000000000002</v>
      </c>
      <c r="D26" s="52">
        <v>0.18</v>
      </c>
      <c r="E26" s="53">
        <v>1.508</v>
      </c>
    </row>
    <row r="27" spans="1:6" ht="15" customHeight="1" x14ac:dyDescent="0.3">
      <c r="A27" s="77" t="s">
        <v>10</v>
      </c>
      <c r="B27" s="44">
        <v>2</v>
      </c>
      <c r="C27" s="59">
        <v>7.9050000000000002</v>
      </c>
      <c r="D27" s="54">
        <v>2</v>
      </c>
      <c r="E27" s="22">
        <v>4.6970000000000001</v>
      </c>
    </row>
    <row r="28" spans="1:6" ht="15" customHeight="1" x14ac:dyDescent="0.3">
      <c r="A28" s="77" t="s">
        <v>11</v>
      </c>
      <c r="B28" s="44">
        <v>3</v>
      </c>
      <c r="C28" s="59">
        <v>7.9050000000000002</v>
      </c>
      <c r="D28" s="54">
        <v>5</v>
      </c>
      <c r="E28" s="22">
        <v>6.8760000000000003</v>
      </c>
    </row>
    <row r="29" spans="1:6" ht="15" customHeight="1" thickBot="1" x14ac:dyDescent="0.35">
      <c r="A29" s="78" t="s">
        <v>4</v>
      </c>
      <c r="B29" s="47">
        <v>4</v>
      </c>
      <c r="C29" s="45">
        <v>7.9050000000000002</v>
      </c>
      <c r="D29" s="56">
        <v>27</v>
      </c>
      <c r="E29" s="28">
        <v>7.9050000000000002</v>
      </c>
    </row>
    <row r="30" spans="1:6" ht="15" customHeight="1" x14ac:dyDescent="0.3">
      <c r="A30" s="81" t="s">
        <v>9</v>
      </c>
      <c r="B30" s="57">
        <v>0</v>
      </c>
      <c r="C30" s="48">
        <v>7.9359999999999999</v>
      </c>
      <c r="D30" s="49">
        <v>0</v>
      </c>
      <c r="E30" s="50">
        <v>6.2949999999999999</v>
      </c>
    </row>
    <row r="31" spans="1:6" ht="15" customHeight="1" x14ac:dyDescent="0.3">
      <c r="A31" s="82" t="s">
        <v>6</v>
      </c>
      <c r="B31" s="44">
        <v>1</v>
      </c>
      <c r="C31" s="51">
        <v>7.9359999999999999</v>
      </c>
      <c r="D31" s="52">
        <v>0.33500000000000002</v>
      </c>
      <c r="E31" s="53">
        <v>1.5629999999999999</v>
      </c>
    </row>
    <row r="32" spans="1:6" ht="15" customHeight="1" x14ac:dyDescent="0.3">
      <c r="A32" s="82" t="s">
        <v>7</v>
      </c>
      <c r="B32" s="44">
        <v>2</v>
      </c>
      <c r="C32" s="51">
        <v>7.9359999999999999</v>
      </c>
      <c r="D32" s="54">
        <v>3</v>
      </c>
      <c r="E32" s="22">
        <v>5.5839999999999996</v>
      </c>
    </row>
    <row r="33" spans="1:5" ht="15" customHeight="1" x14ac:dyDescent="0.3">
      <c r="A33" s="82" t="s">
        <v>8</v>
      </c>
      <c r="B33" s="44">
        <v>3</v>
      </c>
      <c r="C33" s="51">
        <v>7.9359999999999999</v>
      </c>
      <c r="D33" s="54">
        <v>5</v>
      </c>
      <c r="E33" s="22">
        <v>6.8230000000000004</v>
      </c>
    </row>
    <row r="34" spans="1:5" ht="15" customHeight="1" thickBot="1" x14ac:dyDescent="0.35">
      <c r="A34" s="83" t="s">
        <v>9</v>
      </c>
      <c r="B34" s="47">
        <v>4</v>
      </c>
      <c r="C34" s="55">
        <v>7.9359999999999999</v>
      </c>
      <c r="D34" s="56">
        <v>26</v>
      </c>
      <c r="E34" s="28">
        <v>7.9359999999999999</v>
      </c>
    </row>
    <row r="35" spans="1:5" ht="15" customHeight="1" x14ac:dyDescent="0.3">
      <c r="A35" s="77" t="s">
        <v>10</v>
      </c>
      <c r="B35" s="57">
        <v>0</v>
      </c>
      <c r="C35" s="58">
        <v>8.0299999999999994</v>
      </c>
      <c r="D35" s="49">
        <v>0</v>
      </c>
      <c r="E35" s="50">
        <v>7.13</v>
      </c>
    </row>
    <row r="36" spans="1:5" ht="15" customHeight="1" x14ac:dyDescent="0.3">
      <c r="A36" s="77" t="s">
        <v>11</v>
      </c>
      <c r="B36" s="44">
        <v>1</v>
      </c>
      <c r="C36" s="59">
        <v>8.0299999999999994</v>
      </c>
      <c r="D36" s="52">
        <v>0.32700000000000001</v>
      </c>
      <c r="E36" s="53">
        <v>0.82199999999999995</v>
      </c>
    </row>
    <row r="37" spans="1:5" ht="15" customHeight="1" x14ac:dyDescent="0.3">
      <c r="A37" s="77" t="s">
        <v>4</v>
      </c>
      <c r="B37" s="44">
        <v>2</v>
      </c>
      <c r="C37" s="59">
        <v>8.0299999999999994</v>
      </c>
      <c r="D37" s="54">
        <v>2</v>
      </c>
      <c r="E37" s="22">
        <v>4.0730000000000004</v>
      </c>
    </row>
    <row r="38" spans="1:5" ht="15" customHeight="1" x14ac:dyDescent="0.3">
      <c r="A38" s="77" t="s">
        <v>5</v>
      </c>
      <c r="B38" s="44">
        <v>3</v>
      </c>
      <c r="C38" s="59">
        <v>8.0299999999999994</v>
      </c>
      <c r="D38" s="54">
        <v>4.5</v>
      </c>
      <c r="E38" s="22">
        <v>6.4160000000000004</v>
      </c>
    </row>
    <row r="39" spans="1:5" ht="15" customHeight="1" thickBot="1" x14ac:dyDescent="0.35">
      <c r="A39" s="78" t="s">
        <v>6</v>
      </c>
      <c r="B39" s="47">
        <v>4</v>
      </c>
      <c r="C39" s="45">
        <v>8.0299999999999994</v>
      </c>
      <c r="D39" s="56">
        <v>21</v>
      </c>
      <c r="E39" s="28">
        <v>8.0299999999999994</v>
      </c>
    </row>
    <row r="40" spans="1:5" ht="15" customHeight="1" x14ac:dyDescent="0.3">
      <c r="A40" s="80" t="s">
        <v>11</v>
      </c>
      <c r="B40" s="57">
        <v>0</v>
      </c>
      <c r="C40" s="48">
        <v>7.8739999999999997</v>
      </c>
      <c r="D40" s="49">
        <v>0</v>
      </c>
      <c r="E40" s="50">
        <v>6.1639999999999997</v>
      </c>
    </row>
    <row r="41" spans="1:5" ht="15" customHeight="1" x14ac:dyDescent="0.3">
      <c r="A41" s="77" t="s">
        <v>8</v>
      </c>
      <c r="B41" s="44">
        <v>1</v>
      </c>
      <c r="C41" s="51">
        <v>7.8739999999999997</v>
      </c>
      <c r="D41" s="52">
        <v>-2.1000000000000001E-2</v>
      </c>
      <c r="E41" s="53">
        <v>1.7090000000000001</v>
      </c>
    </row>
    <row r="42" spans="1:5" ht="15" customHeight="1" x14ac:dyDescent="0.3">
      <c r="A42" s="77" t="s">
        <v>9</v>
      </c>
      <c r="B42" s="44">
        <v>2</v>
      </c>
      <c r="C42" s="51">
        <v>7.8739999999999997</v>
      </c>
      <c r="D42" s="54">
        <v>2.5</v>
      </c>
      <c r="E42" s="22">
        <v>5.5380000000000003</v>
      </c>
    </row>
    <row r="43" spans="1:5" ht="15" customHeight="1" x14ac:dyDescent="0.3">
      <c r="A43" s="77" t="s">
        <v>10</v>
      </c>
      <c r="B43" s="44">
        <v>3</v>
      </c>
      <c r="C43" s="51">
        <v>7.8739999999999997</v>
      </c>
      <c r="D43" s="54">
        <v>5</v>
      </c>
      <c r="E43" s="22">
        <v>6.9820000000000002</v>
      </c>
    </row>
    <row r="44" spans="1:5" ht="15" customHeight="1" thickBot="1" x14ac:dyDescent="0.35">
      <c r="A44" s="78" t="s">
        <v>11</v>
      </c>
      <c r="B44" s="47">
        <v>4</v>
      </c>
      <c r="C44" s="55">
        <v>7.8739999999999997</v>
      </c>
      <c r="D44" s="56">
        <v>25</v>
      </c>
      <c r="E44" s="28">
        <v>7.8739999999999997</v>
      </c>
    </row>
    <row r="45" spans="1:5" ht="15" thickBot="1" x14ac:dyDescent="0.35">
      <c r="A45" s="84" t="s">
        <v>12</v>
      </c>
      <c r="B45" s="57">
        <v>0</v>
      </c>
      <c r="C45" s="58">
        <v>7.8239999999999998</v>
      </c>
      <c r="D45" s="49">
        <v>0</v>
      </c>
      <c r="E45" s="50">
        <v>7.1139999999999999</v>
      </c>
    </row>
    <row r="46" spans="1:5" ht="15" thickBot="1" x14ac:dyDescent="0.35">
      <c r="A46" s="84" t="s">
        <v>13</v>
      </c>
      <c r="B46" s="44">
        <v>1</v>
      </c>
      <c r="C46" s="59">
        <v>7.8239999999999998</v>
      </c>
      <c r="D46" s="52">
        <v>0.75800000000000001</v>
      </c>
      <c r="E46" s="53">
        <v>0.126</v>
      </c>
    </row>
    <row r="47" spans="1:5" ht="15" thickBot="1" x14ac:dyDescent="0.35">
      <c r="A47" s="84" t="s">
        <v>14</v>
      </c>
      <c r="B47" s="44">
        <v>2</v>
      </c>
      <c r="C47" s="59">
        <v>7.8239999999999998</v>
      </c>
      <c r="D47" s="54">
        <v>3</v>
      </c>
      <c r="E47" s="22">
        <v>4.6390000000000002</v>
      </c>
    </row>
    <row r="48" spans="1:5" ht="15" thickBot="1" x14ac:dyDescent="0.35">
      <c r="A48" s="84" t="s">
        <v>15</v>
      </c>
      <c r="B48" s="44">
        <v>3</v>
      </c>
      <c r="C48" s="59">
        <v>7.8239999999999998</v>
      </c>
      <c r="D48" s="54">
        <v>6</v>
      </c>
      <c r="E48" s="22">
        <v>6.8470000000000004</v>
      </c>
    </row>
    <row r="49" spans="1:5" ht="15" thickBot="1" x14ac:dyDescent="0.35">
      <c r="A49" s="84" t="s">
        <v>16</v>
      </c>
      <c r="B49" s="47">
        <v>4</v>
      </c>
      <c r="C49" s="45">
        <v>7.8239999999999998</v>
      </c>
      <c r="D49" s="56">
        <v>26</v>
      </c>
      <c r="E49" s="28">
        <v>7.8239999999999998</v>
      </c>
    </row>
    <row r="50" spans="1:5" ht="15" thickBot="1" x14ac:dyDescent="0.35">
      <c r="A50" s="85" t="s">
        <v>13</v>
      </c>
      <c r="B50" s="57">
        <v>0</v>
      </c>
      <c r="C50" s="48">
        <v>7.915</v>
      </c>
      <c r="D50" s="49">
        <v>0</v>
      </c>
      <c r="E50" s="50">
        <v>7.3150000000000004</v>
      </c>
    </row>
    <row r="51" spans="1:5" ht="15" thickBot="1" x14ac:dyDescent="0.35">
      <c r="A51" s="85" t="s">
        <v>18</v>
      </c>
      <c r="B51" s="44">
        <v>1</v>
      </c>
      <c r="C51" s="51">
        <v>7.915</v>
      </c>
      <c r="D51" s="52">
        <v>0.71699999999999997</v>
      </c>
      <c r="E51" s="53">
        <v>0.112</v>
      </c>
    </row>
    <row r="52" spans="1:5" ht="15" thickBot="1" x14ac:dyDescent="0.35">
      <c r="A52" s="85" t="s">
        <v>19</v>
      </c>
      <c r="B52" s="44">
        <v>2</v>
      </c>
      <c r="C52" s="51">
        <v>7.915</v>
      </c>
      <c r="D52" s="54">
        <v>3</v>
      </c>
      <c r="E52" s="22">
        <v>4.6219999999999999</v>
      </c>
    </row>
    <row r="53" spans="1:5" ht="15" thickBot="1" x14ac:dyDescent="0.35">
      <c r="A53" s="85" t="s">
        <v>20</v>
      </c>
      <c r="B53" s="44">
        <v>3</v>
      </c>
      <c r="C53" s="51">
        <v>7.915</v>
      </c>
      <c r="D53" s="54">
        <v>6</v>
      </c>
      <c r="E53" s="22">
        <v>6.8550000000000004</v>
      </c>
    </row>
    <row r="54" spans="1:5" ht="15" thickBot="1" x14ac:dyDescent="0.35">
      <c r="A54" s="86" t="s">
        <v>21</v>
      </c>
      <c r="B54" s="47">
        <v>4</v>
      </c>
      <c r="C54" s="55">
        <v>7.915</v>
      </c>
      <c r="D54" s="56">
        <v>27</v>
      </c>
      <c r="E54" s="28">
        <v>7.915</v>
      </c>
    </row>
    <row r="55" spans="1:5" ht="15" thickBot="1" x14ac:dyDescent="0.35">
      <c r="A55" s="78" t="s">
        <v>14</v>
      </c>
      <c r="B55" s="57">
        <v>0</v>
      </c>
      <c r="C55" s="58">
        <v>7.915</v>
      </c>
      <c r="D55" s="49">
        <v>0</v>
      </c>
      <c r="E55" s="50">
        <v>6.7549999999999999</v>
      </c>
    </row>
    <row r="56" spans="1:5" ht="15" thickBot="1" x14ac:dyDescent="0.35">
      <c r="A56" s="84" t="s">
        <v>13</v>
      </c>
      <c r="B56" s="44">
        <v>1</v>
      </c>
      <c r="C56" s="59">
        <v>7.915</v>
      </c>
      <c r="D56" s="52">
        <v>0.59199999999999997</v>
      </c>
      <c r="E56" s="53">
        <v>0.871</v>
      </c>
    </row>
    <row r="57" spans="1:5" ht="15" thickBot="1" x14ac:dyDescent="0.35">
      <c r="A57" s="84" t="s">
        <v>14</v>
      </c>
      <c r="B57" s="44">
        <v>2</v>
      </c>
      <c r="C57" s="59">
        <v>7.915</v>
      </c>
      <c r="D57" s="54">
        <v>3</v>
      </c>
      <c r="E57" s="22">
        <v>5.0789999999999997</v>
      </c>
    </row>
    <row r="58" spans="1:5" ht="15" thickBot="1" x14ac:dyDescent="0.35">
      <c r="A58" s="84" t="s">
        <v>15</v>
      </c>
      <c r="B58" s="44">
        <v>3</v>
      </c>
      <c r="C58" s="59">
        <v>7.915</v>
      </c>
      <c r="D58" s="54">
        <v>7</v>
      </c>
      <c r="E58" s="22">
        <v>7.2889999999999997</v>
      </c>
    </row>
    <row r="59" spans="1:5" ht="15" thickBot="1" x14ac:dyDescent="0.35">
      <c r="A59" s="84" t="s">
        <v>16</v>
      </c>
      <c r="B59" s="47">
        <v>4</v>
      </c>
      <c r="C59" s="45">
        <v>7.915</v>
      </c>
      <c r="D59" s="56">
        <v>26</v>
      </c>
      <c r="E59" s="28">
        <v>7.915</v>
      </c>
    </row>
    <row r="60" spans="1:5" ht="15" thickBot="1" x14ac:dyDescent="0.35">
      <c r="A60" s="84" t="s">
        <v>15</v>
      </c>
      <c r="B60" s="57">
        <v>0</v>
      </c>
      <c r="C60" s="48">
        <v>7.9249999999999998</v>
      </c>
      <c r="D60" s="49">
        <v>0</v>
      </c>
      <c r="E60" s="50">
        <v>6.875</v>
      </c>
    </row>
    <row r="61" spans="1:5" ht="15" thickBot="1" x14ac:dyDescent="0.35">
      <c r="A61" s="84" t="s">
        <v>18</v>
      </c>
      <c r="B61" s="44">
        <v>1</v>
      </c>
      <c r="C61" s="51">
        <v>7.9249999999999998</v>
      </c>
      <c r="D61" s="52">
        <v>0.56499999999999995</v>
      </c>
      <c r="E61" s="53">
        <v>0.78700000000000003</v>
      </c>
    </row>
    <row r="62" spans="1:5" ht="15" thickBot="1" x14ac:dyDescent="0.35">
      <c r="A62" s="84" t="s">
        <v>19</v>
      </c>
      <c r="B62" s="44">
        <v>2</v>
      </c>
      <c r="C62" s="51">
        <v>7.9249999999999998</v>
      </c>
      <c r="D62" s="54">
        <v>4</v>
      </c>
      <c r="E62" s="22">
        <v>5.9640000000000004</v>
      </c>
    </row>
    <row r="63" spans="1:5" ht="15" thickBot="1" x14ac:dyDescent="0.35">
      <c r="A63" s="84" t="s">
        <v>20</v>
      </c>
      <c r="B63" s="44">
        <v>3</v>
      </c>
      <c r="C63" s="51">
        <v>7.9249999999999998</v>
      </c>
      <c r="D63" s="54">
        <v>6</v>
      </c>
      <c r="E63" s="22">
        <v>7</v>
      </c>
    </row>
    <row r="64" spans="1:5" ht="15" thickBot="1" x14ac:dyDescent="0.35">
      <c r="A64" s="84" t="s">
        <v>21</v>
      </c>
      <c r="B64" s="47">
        <v>4</v>
      </c>
      <c r="C64" s="55">
        <v>7.9249999999999998</v>
      </c>
      <c r="D64" s="56">
        <v>27</v>
      </c>
      <c r="E64" s="28">
        <v>7.9249999999999998</v>
      </c>
    </row>
    <row r="65" spans="1:5" ht="15" thickBot="1" x14ac:dyDescent="0.35">
      <c r="A65" s="84" t="s">
        <v>16</v>
      </c>
      <c r="B65" s="57">
        <v>0</v>
      </c>
      <c r="C65" s="58">
        <v>7.9249999999999998</v>
      </c>
      <c r="D65" s="49">
        <v>0</v>
      </c>
      <c r="E65" s="50">
        <v>7.03</v>
      </c>
    </row>
    <row r="66" spans="1:5" ht="15" thickBot="1" x14ac:dyDescent="0.35">
      <c r="A66" s="84" t="s">
        <v>13</v>
      </c>
      <c r="B66" s="44">
        <v>1</v>
      </c>
      <c r="C66" s="59">
        <v>7.9249999999999998</v>
      </c>
      <c r="D66" s="52">
        <v>0.54300000000000004</v>
      </c>
      <c r="E66" s="53">
        <v>0.64400000000000002</v>
      </c>
    </row>
    <row r="67" spans="1:5" ht="15" thickBot="1" x14ac:dyDescent="0.35">
      <c r="A67" s="84" t="s">
        <v>14</v>
      </c>
      <c r="B67" s="44">
        <v>2</v>
      </c>
      <c r="C67" s="59">
        <v>7.9249999999999998</v>
      </c>
      <c r="D67" s="54">
        <v>2.5</v>
      </c>
      <c r="E67" s="22">
        <v>4.4379999999999997</v>
      </c>
    </row>
    <row r="68" spans="1:5" ht="15" thickBot="1" x14ac:dyDescent="0.35">
      <c r="A68" s="84" t="s">
        <v>15</v>
      </c>
      <c r="B68" s="44">
        <v>3</v>
      </c>
      <c r="C68" s="59">
        <v>7.9249999999999998</v>
      </c>
      <c r="D68" s="54">
        <v>6</v>
      </c>
      <c r="E68" s="22">
        <v>6.9889999999999999</v>
      </c>
    </row>
    <row r="69" spans="1:5" ht="15" thickBot="1" x14ac:dyDescent="0.35">
      <c r="A69" s="84" t="s">
        <v>16</v>
      </c>
      <c r="B69" s="47">
        <v>4</v>
      </c>
      <c r="C69" s="45">
        <v>7.9249999999999998</v>
      </c>
      <c r="D69" s="56">
        <v>27</v>
      </c>
      <c r="E69" s="28">
        <v>7.9249999999999998</v>
      </c>
    </row>
    <row r="70" spans="1:5" ht="15" thickBot="1" x14ac:dyDescent="0.35">
      <c r="A70" s="84" t="s">
        <v>17</v>
      </c>
      <c r="B70" s="57">
        <v>0</v>
      </c>
      <c r="C70" s="48">
        <v>7.915</v>
      </c>
      <c r="D70" s="49">
        <v>0</v>
      </c>
      <c r="E70" s="50">
        <v>6.7649999999999997</v>
      </c>
    </row>
    <row r="71" spans="1:5" ht="15" thickBot="1" x14ac:dyDescent="0.35">
      <c r="A71" s="84" t="s">
        <v>18</v>
      </c>
      <c r="B71" s="44">
        <v>1</v>
      </c>
      <c r="C71" s="51">
        <v>7.915</v>
      </c>
      <c r="D71" s="52">
        <v>0.58899999999999997</v>
      </c>
      <c r="E71" s="53">
        <v>0.86299999999999999</v>
      </c>
    </row>
    <row r="72" spans="1:5" ht="15" thickBot="1" x14ac:dyDescent="0.35">
      <c r="A72" s="84" t="s">
        <v>19</v>
      </c>
      <c r="B72" s="44">
        <v>2</v>
      </c>
      <c r="C72" s="51">
        <v>7.915</v>
      </c>
      <c r="D72" s="54">
        <v>4.5</v>
      </c>
      <c r="E72" s="22">
        <v>4.0839999999999996</v>
      </c>
    </row>
    <row r="73" spans="1:5" ht="15" thickBot="1" x14ac:dyDescent="0.35">
      <c r="A73" s="84" t="s">
        <v>20</v>
      </c>
      <c r="B73" s="44">
        <v>3</v>
      </c>
      <c r="C73" s="51">
        <v>7.915</v>
      </c>
      <c r="D73" s="54">
        <v>8</v>
      </c>
      <c r="E73" s="22">
        <v>6.8940000000000001</v>
      </c>
    </row>
    <row r="74" spans="1:5" ht="15" thickBot="1" x14ac:dyDescent="0.35">
      <c r="A74" s="84" t="s">
        <v>21</v>
      </c>
      <c r="B74" s="47">
        <v>4</v>
      </c>
      <c r="C74" s="55">
        <v>7.915</v>
      </c>
      <c r="D74" s="56">
        <v>29</v>
      </c>
      <c r="E74" s="28">
        <v>7.915</v>
      </c>
    </row>
    <row r="75" spans="1:5" ht="15" thickBot="1" x14ac:dyDescent="0.35">
      <c r="A75" s="84" t="s">
        <v>18</v>
      </c>
      <c r="B75" s="57">
        <v>0</v>
      </c>
      <c r="C75" s="58">
        <v>7.9459999999999997</v>
      </c>
      <c r="D75" s="49">
        <v>0</v>
      </c>
      <c r="E75" s="50">
        <v>6.976</v>
      </c>
    </row>
    <row r="76" spans="1:5" ht="15" thickBot="1" x14ac:dyDescent="0.35">
      <c r="A76" s="84" t="s">
        <v>13</v>
      </c>
      <c r="B76" s="44">
        <v>1</v>
      </c>
      <c r="C76" s="59">
        <v>7.9459999999999997</v>
      </c>
      <c r="D76" s="52">
        <v>-0.16500000000000001</v>
      </c>
      <c r="E76" s="53">
        <v>0.95199999999999996</v>
      </c>
    </row>
    <row r="77" spans="1:5" ht="15" thickBot="1" x14ac:dyDescent="0.35">
      <c r="A77" s="84" t="s">
        <v>14</v>
      </c>
      <c r="B77" s="44">
        <v>2</v>
      </c>
      <c r="C77" s="59">
        <v>7.9459999999999997</v>
      </c>
      <c r="D77" s="54">
        <v>2</v>
      </c>
      <c r="E77" s="22">
        <v>4.8230000000000004</v>
      </c>
    </row>
    <row r="78" spans="1:5" ht="15" thickBot="1" x14ac:dyDescent="0.35">
      <c r="A78" s="84" t="s">
        <v>15</v>
      </c>
      <c r="B78" s="44">
        <v>3</v>
      </c>
      <c r="C78" s="59">
        <v>7.9459999999999997</v>
      </c>
      <c r="D78" s="54">
        <v>6</v>
      </c>
      <c r="E78" s="22">
        <v>7.2430000000000003</v>
      </c>
    </row>
    <row r="79" spans="1:5" ht="15" thickBot="1" x14ac:dyDescent="0.35">
      <c r="A79" s="84" t="s">
        <v>16</v>
      </c>
      <c r="B79" s="47">
        <v>4</v>
      </c>
      <c r="C79" s="45">
        <v>7.9459999999999997</v>
      </c>
      <c r="D79" s="56">
        <v>27</v>
      </c>
      <c r="E79" s="28">
        <v>7.9459999999999997</v>
      </c>
    </row>
    <row r="80" spans="1:5" ht="15" thickBot="1" x14ac:dyDescent="0.35">
      <c r="A80" s="84" t="s">
        <v>19</v>
      </c>
      <c r="B80" s="57">
        <v>0</v>
      </c>
      <c r="C80" s="48">
        <v>7.8639999999999999</v>
      </c>
      <c r="D80" s="49">
        <v>0</v>
      </c>
      <c r="E80" s="50">
        <v>7.0439999999999996</v>
      </c>
    </row>
    <row r="81" spans="1:5" ht="15" thickBot="1" x14ac:dyDescent="0.35">
      <c r="A81" s="84" t="s">
        <v>18</v>
      </c>
      <c r="B81" s="44">
        <v>1</v>
      </c>
      <c r="C81" s="51">
        <v>7.8639999999999999</v>
      </c>
      <c r="D81" s="52">
        <v>0.79</v>
      </c>
      <c r="E81" s="53">
        <v>0.20300000000000001</v>
      </c>
    </row>
    <row r="82" spans="1:5" ht="15" thickBot="1" x14ac:dyDescent="0.35">
      <c r="A82" s="84" t="s">
        <v>19</v>
      </c>
      <c r="B82" s="44">
        <v>2</v>
      </c>
      <c r="C82" s="51">
        <v>7.8639999999999999</v>
      </c>
      <c r="D82" s="54">
        <v>3</v>
      </c>
      <c r="E82" s="22">
        <v>4.6020000000000003</v>
      </c>
    </row>
    <row r="83" spans="1:5" ht="15" thickBot="1" x14ac:dyDescent="0.35">
      <c r="A83" s="84" t="s">
        <v>20</v>
      </c>
      <c r="B83" s="44">
        <v>3</v>
      </c>
      <c r="C83" s="51">
        <v>7.8639999999999999</v>
      </c>
      <c r="D83" s="54">
        <v>7</v>
      </c>
      <c r="E83" s="22">
        <v>7.1669999999999998</v>
      </c>
    </row>
    <row r="84" spans="1:5" ht="15" thickBot="1" x14ac:dyDescent="0.35">
      <c r="A84" s="84" t="s">
        <v>21</v>
      </c>
      <c r="B84" s="47">
        <v>4</v>
      </c>
      <c r="C84" s="55">
        <v>7.8639999999999999</v>
      </c>
      <c r="D84" s="56">
        <v>26</v>
      </c>
      <c r="E84" s="28">
        <v>7.8639999999999999</v>
      </c>
    </row>
    <row r="85" spans="1:5" ht="15" thickBot="1" x14ac:dyDescent="0.35">
      <c r="A85" s="84" t="s">
        <v>20</v>
      </c>
      <c r="B85" s="57">
        <v>0</v>
      </c>
      <c r="C85" s="60">
        <v>7.9459999999999997</v>
      </c>
      <c r="D85" s="61">
        <v>0</v>
      </c>
      <c r="E85" s="50">
        <v>6.9260000000000002</v>
      </c>
    </row>
    <row r="86" spans="1:5" ht="15" thickBot="1" x14ac:dyDescent="0.35">
      <c r="A86" s="84" t="s">
        <v>13</v>
      </c>
      <c r="B86" s="44">
        <v>1</v>
      </c>
      <c r="C86" s="62">
        <v>7.9459999999999997</v>
      </c>
      <c r="D86" s="63">
        <v>1.0089999999999999</v>
      </c>
      <c r="E86" s="53">
        <v>-3.2000000000000001E-2</v>
      </c>
    </row>
    <row r="87" spans="1:5" ht="15" thickBot="1" x14ac:dyDescent="0.35">
      <c r="A87" s="84" t="s">
        <v>14</v>
      </c>
      <c r="B87" s="44">
        <v>2</v>
      </c>
      <c r="C87" s="62">
        <v>7.9459999999999997</v>
      </c>
      <c r="D87" s="64">
        <v>3.2</v>
      </c>
      <c r="E87" s="22">
        <v>4.4180000000000001</v>
      </c>
    </row>
    <row r="88" spans="1:5" ht="15" thickBot="1" x14ac:dyDescent="0.35">
      <c r="A88" s="84" t="s">
        <v>15</v>
      </c>
      <c r="B88" s="44">
        <v>3</v>
      </c>
      <c r="C88" s="62">
        <v>7.9459999999999997</v>
      </c>
      <c r="D88" s="64">
        <v>6</v>
      </c>
      <c r="E88" s="22">
        <v>6.7039999999999997</v>
      </c>
    </row>
    <row r="89" spans="1:5" ht="15" thickBot="1" x14ac:dyDescent="0.35">
      <c r="A89" s="84" t="s">
        <v>16</v>
      </c>
      <c r="B89" s="47">
        <v>4</v>
      </c>
      <c r="C89" s="65">
        <v>7.9459999999999997</v>
      </c>
      <c r="D89" s="66">
        <v>28</v>
      </c>
      <c r="E89" s="28">
        <v>7.9459999999999997</v>
      </c>
    </row>
    <row r="90" spans="1:5" ht="15" thickBot="1" x14ac:dyDescent="0.35">
      <c r="A90" s="84" t="s">
        <v>21</v>
      </c>
      <c r="B90" s="57">
        <v>0</v>
      </c>
      <c r="C90" s="67">
        <v>8.02</v>
      </c>
      <c r="D90" s="61">
        <v>0</v>
      </c>
      <c r="E90" s="50">
        <v>7.1189999999999998</v>
      </c>
    </row>
    <row r="91" spans="1:5" ht="15" thickBot="1" x14ac:dyDescent="0.35">
      <c r="A91" s="84" t="s">
        <v>18</v>
      </c>
      <c r="B91" s="44">
        <v>1</v>
      </c>
      <c r="C91" s="68">
        <v>8.02</v>
      </c>
      <c r="D91" s="64">
        <v>0.28599999999999998</v>
      </c>
      <c r="E91" s="53">
        <v>0.84099999999999997</v>
      </c>
    </row>
    <row r="92" spans="1:5" ht="15" thickBot="1" x14ac:dyDescent="0.35">
      <c r="A92" s="84" t="s">
        <v>19</v>
      </c>
      <c r="B92" s="44">
        <v>2</v>
      </c>
      <c r="C92" s="68">
        <v>8.02</v>
      </c>
      <c r="D92" s="64">
        <v>2.5</v>
      </c>
      <c r="E92" s="22">
        <v>4.7919999999999998</v>
      </c>
    </row>
    <row r="93" spans="1:5" ht="15" thickBot="1" x14ac:dyDescent="0.35">
      <c r="A93" s="84" t="s">
        <v>20</v>
      </c>
      <c r="B93" s="44">
        <v>3</v>
      </c>
      <c r="C93" s="68">
        <v>8.02</v>
      </c>
      <c r="D93" s="64">
        <v>5</v>
      </c>
      <c r="E93" s="22">
        <v>6.7110000000000003</v>
      </c>
    </row>
    <row r="94" spans="1:5" ht="15" thickBot="1" x14ac:dyDescent="0.35">
      <c r="A94" s="84" t="s">
        <v>21</v>
      </c>
      <c r="B94" s="47">
        <v>4</v>
      </c>
      <c r="C94" s="69">
        <v>8.02</v>
      </c>
      <c r="D94" s="66">
        <v>21</v>
      </c>
      <c r="E94" s="28">
        <v>8.02</v>
      </c>
    </row>
    <row r="95" spans="1:5" ht="15" thickBot="1" x14ac:dyDescent="0.35">
      <c r="A95" s="84" t="s">
        <v>22</v>
      </c>
      <c r="B95" s="57">
        <v>0</v>
      </c>
      <c r="C95" s="70">
        <v>8.0090000000000003</v>
      </c>
      <c r="D95" s="61">
        <v>0</v>
      </c>
      <c r="E95" s="50">
        <v>7.2679999999999998</v>
      </c>
    </row>
    <row r="96" spans="1:5" ht="15" thickBot="1" x14ac:dyDescent="0.35">
      <c r="A96" s="84" t="s">
        <v>23</v>
      </c>
      <c r="B96" s="44">
        <v>1</v>
      </c>
      <c r="C96" s="62">
        <v>8.0090000000000003</v>
      </c>
      <c r="D96" s="63">
        <v>0.52800000000000002</v>
      </c>
      <c r="E96" s="53">
        <v>0.51500000000000001</v>
      </c>
    </row>
    <row r="97" spans="1:5" ht="15" thickBot="1" x14ac:dyDescent="0.35">
      <c r="A97" s="84" t="s">
        <v>24</v>
      </c>
      <c r="B97" s="44">
        <v>2</v>
      </c>
      <c r="C97" s="62">
        <v>8.0090000000000003</v>
      </c>
      <c r="D97" s="64">
        <v>3</v>
      </c>
      <c r="E97" s="22">
        <v>4.9489999999999998</v>
      </c>
    </row>
    <row r="98" spans="1:5" ht="15" thickBot="1" x14ac:dyDescent="0.35">
      <c r="A98" s="84" t="s">
        <v>25</v>
      </c>
      <c r="B98" s="44">
        <v>3</v>
      </c>
      <c r="C98" s="62">
        <v>8.0090000000000003</v>
      </c>
      <c r="D98" s="64">
        <v>6</v>
      </c>
      <c r="E98" s="22">
        <v>6.976</v>
      </c>
    </row>
    <row r="99" spans="1:5" ht="15" thickBot="1" x14ac:dyDescent="0.35">
      <c r="A99" s="84" t="s">
        <v>26</v>
      </c>
      <c r="B99" s="47">
        <v>4</v>
      </c>
      <c r="C99" s="65">
        <v>8.0090000000000003</v>
      </c>
      <c r="D99" s="66">
        <v>28</v>
      </c>
      <c r="E99" s="28">
        <v>8.0090000000000003</v>
      </c>
    </row>
    <row r="100" spans="1:5" ht="15" thickBot="1" x14ac:dyDescent="0.35">
      <c r="A100" s="84" t="s">
        <v>23</v>
      </c>
      <c r="B100" s="57">
        <v>0</v>
      </c>
      <c r="C100" s="67">
        <v>8.0749999999999993</v>
      </c>
      <c r="D100" s="61">
        <v>0</v>
      </c>
      <c r="E100" s="50">
        <v>7.4450000000000003</v>
      </c>
    </row>
    <row r="101" spans="1:5" ht="15" thickBot="1" x14ac:dyDescent="0.35">
      <c r="A101" s="84" t="s">
        <v>28</v>
      </c>
      <c r="B101" s="44">
        <v>1</v>
      </c>
      <c r="C101" s="68">
        <v>8.0749999999999993</v>
      </c>
      <c r="D101" s="63">
        <v>0.61699999999999999</v>
      </c>
      <c r="E101" s="53">
        <v>0.31900000000000001</v>
      </c>
    </row>
    <row r="102" spans="1:5" ht="15" thickBot="1" x14ac:dyDescent="0.35">
      <c r="A102" s="84" t="s">
        <v>29</v>
      </c>
      <c r="B102" s="44">
        <v>2</v>
      </c>
      <c r="C102" s="68">
        <v>8.0749999999999993</v>
      </c>
      <c r="D102" s="64">
        <v>3.1</v>
      </c>
      <c r="E102" s="22">
        <v>4.8360000000000003</v>
      </c>
    </row>
    <row r="103" spans="1:5" ht="15" thickBot="1" x14ac:dyDescent="0.35">
      <c r="A103" s="84" t="s">
        <v>22</v>
      </c>
      <c r="B103" s="44">
        <v>3</v>
      </c>
      <c r="C103" s="68">
        <v>8.0749999999999993</v>
      </c>
      <c r="D103" s="64">
        <v>6.3</v>
      </c>
      <c r="E103" s="22">
        <v>7.0250000000000004</v>
      </c>
    </row>
    <row r="104" spans="1:5" ht="15" thickBot="1" x14ac:dyDescent="0.35">
      <c r="A104" s="84" t="s">
        <v>23</v>
      </c>
      <c r="B104" s="47">
        <v>4</v>
      </c>
      <c r="C104" s="69">
        <v>8.0749999999999993</v>
      </c>
      <c r="D104" s="66">
        <v>29</v>
      </c>
      <c r="E104" s="28">
        <v>8.0749999999999993</v>
      </c>
    </row>
    <row r="105" spans="1:5" ht="15" thickBot="1" x14ac:dyDescent="0.35">
      <c r="A105" s="84" t="s">
        <v>24</v>
      </c>
      <c r="B105" s="57">
        <v>0</v>
      </c>
      <c r="C105" s="70">
        <v>7.9359999999999999</v>
      </c>
      <c r="D105" s="61">
        <v>0</v>
      </c>
      <c r="E105" s="50">
        <v>7.2050000000000001</v>
      </c>
    </row>
    <row r="106" spans="1:5" ht="15" thickBot="1" x14ac:dyDescent="0.35">
      <c r="A106" s="84" t="s">
        <v>25</v>
      </c>
      <c r="B106" s="44">
        <v>1</v>
      </c>
      <c r="C106" s="62">
        <v>7.9359999999999999</v>
      </c>
      <c r="D106" s="63">
        <v>0.46100000000000002</v>
      </c>
      <c r="E106" s="53">
        <v>0.55500000000000005</v>
      </c>
    </row>
    <row r="107" spans="1:5" ht="15" thickBot="1" x14ac:dyDescent="0.35">
      <c r="A107" s="84" t="s">
        <v>26</v>
      </c>
      <c r="B107" s="44">
        <v>2</v>
      </c>
      <c r="C107" s="62">
        <v>7.9359999999999999</v>
      </c>
      <c r="D107" s="64">
        <v>3</v>
      </c>
      <c r="E107" s="22">
        <v>5.0789999999999997</v>
      </c>
    </row>
    <row r="108" spans="1:5" ht="15" thickBot="1" x14ac:dyDescent="0.35">
      <c r="A108" s="84" t="s">
        <v>27</v>
      </c>
      <c r="B108" s="44">
        <v>3</v>
      </c>
      <c r="C108" s="62">
        <v>7.9359999999999999</v>
      </c>
      <c r="D108" s="64">
        <v>6.5</v>
      </c>
      <c r="E108" s="22">
        <v>7.1639999999999997</v>
      </c>
    </row>
    <row r="109" spans="1:5" ht="15" thickBot="1" x14ac:dyDescent="0.35">
      <c r="A109" s="84" t="s">
        <v>28</v>
      </c>
      <c r="B109" s="47">
        <v>4</v>
      </c>
      <c r="C109" s="65">
        <v>7.9359999999999999</v>
      </c>
      <c r="D109" s="66">
        <v>27</v>
      </c>
      <c r="E109" s="28">
        <v>7.9359999999999999</v>
      </c>
    </row>
    <row r="110" spans="1:5" ht="15" thickBot="1" x14ac:dyDescent="0.35">
      <c r="A110" s="84" t="s">
        <v>25</v>
      </c>
      <c r="B110" s="57">
        <v>0</v>
      </c>
      <c r="C110" s="67">
        <v>7.8739999999999997</v>
      </c>
      <c r="D110" s="61">
        <v>0</v>
      </c>
      <c r="E110" s="50">
        <v>5.6239999999999997</v>
      </c>
    </row>
    <row r="111" spans="1:5" ht="15" thickBot="1" x14ac:dyDescent="0.35">
      <c r="A111" s="84" t="s">
        <v>22</v>
      </c>
      <c r="B111" s="44">
        <v>1</v>
      </c>
      <c r="C111" s="68">
        <v>7.8739999999999997</v>
      </c>
      <c r="D111" s="63">
        <v>-0.32600000000000001</v>
      </c>
      <c r="E111" s="53">
        <v>1.194</v>
      </c>
    </row>
    <row r="112" spans="1:5" ht="15" thickBot="1" x14ac:dyDescent="0.35">
      <c r="A112" s="84" t="s">
        <v>23</v>
      </c>
      <c r="B112" s="44">
        <v>2</v>
      </c>
      <c r="C112" s="68">
        <v>7.8739999999999997</v>
      </c>
      <c r="D112" s="64">
        <v>2.5</v>
      </c>
      <c r="E112" s="22">
        <v>5.96</v>
      </c>
    </row>
    <row r="113" spans="1:5" ht="15" thickBot="1" x14ac:dyDescent="0.35">
      <c r="A113" s="84" t="s">
        <v>24</v>
      </c>
      <c r="B113" s="44">
        <v>3</v>
      </c>
      <c r="C113" s="68">
        <v>7.8739999999999997</v>
      </c>
      <c r="D113" s="64">
        <v>6</v>
      </c>
      <c r="E113" s="22">
        <v>7.3769999999999998</v>
      </c>
    </row>
    <row r="114" spans="1:5" ht="15" thickBot="1" x14ac:dyDescent="0.35">
      <c r="A114" s="84" t="s">
        <v>25</v>
      </c>
      <c r="B114" s="47">
        <v>4</v>
      </c>
      <c r="C114" s="69">
        <v>7.8739999999999997</v>
      </c>
      <c r="D114" s="66">
        <v>24</v>
      </c>
      <c r="E114" s="28">
        <v>7.8739999999999997</v>
      </c>
    </row>
    <row r="115" spans="1:5" ht="15" thickBot="1" x14ac:dyDescent="0.35">
      <c r="A115" s="84" t="s">
        <v>26</v>
      </c>
      <c r="B115" s="57">
        <v>0</v>
      </c>
      <c r="C115" s="70">
        <v>7.9669999999999996</v>
      </c>
      <c r="D115" s="61">
        <v>0</v>
      </c>
      <c r="E115" s="50">
        <v>6.0259999999999998</v>
      </c>
    </row>
    <row r="116" spans="1:5" ht="15" thickBot="1" x14ac:dyDescent="0.35">
      <c r="A116" s="84" t="s">
        <v>27</v>
      </c>
      <c r="B116" s="44">
        <v>1</v>
      </c>
      <c r="C116" s="62">
        <v>7.9669999999999996</v>
      </c>
      <c r="D116" s="63">
        <v>-0.26700000000000002</v>
      </c>
      <c r="E116" s="53">
        <v>1.9019999999999999</v>
      </c>
    </row>
    <row r="117" spans="1:5" ht="15" thickBot="1" x14ac:dyDescent="0.35">
      <c r="A117" s="84" t="s">
        <v>28</v>
      </c>
      <c r="B117" s="44">
        <v>2</v>
      </c>
      <c r="C117" s="62">
        <v>7.9669999999999996</v>
      </c>
      <c r="D117" s="64">
        <v>2</v>
      </c>
      <c r="E117" s="22">
        <v>5.343</v>
      </c>
    </row>
    <row r="118" spans="1:5" ht="15" thickBot="1" x14ac:dyDescent="0.35">
      <c r="A118" s="84" t="s">
        <v>29</v>
      </c>
      <c r="B118" s="44">
        <v>3</v>
      </c>
      <c r="C118" s="62">
        <v>7.9669999999999996</v>
      </c>
      <c r="D118" s="64">
        <v>5</v>
      </c>
      <c r="E118" s="22">
        <v>7.0990000000000002</v>
      </c>
    </row>
    <row r="119" spans="1:5" ht="15" thickBot="1" x14ac:dyDescent="0.35">
      <c r="A119" s="84" t="s">
        <v>22</v>
      </c>
      <c r="B119" s="47">
        <v>4</v>
      </c>
      <c r="C119" s="65">
        <v>7.9669999999999996</v>
      </c>
      <c r="D119" s="66">
        <v>26</v>
      </c>
      <c r="E119" s="28">
        <v>7.9669999999999996</v>
      </c>
    </row>
    <row r="120" spans="1:5" ht="15" thickBot="1" x14ac:dyDescent="0.35">
      <c r="A120" s="84" t="s">
        <v>27</v>
      </c>
      <c r="B120" s="57">
        <v>0</v>
      </c>
      <c r="C120" s="67">
        <v>7.915</v>
      </c>
      <c r="D120" s="61">
        <v>0</v>
      </c>
      <c r="E120" s="50">
        <v>5.9249999999999998</v>
      </c>
    </row>
    <row r="121" spans="1:5" ht="15" thickBot="1" x14ac:dyDescent="0.35">
      <c r="A121" s="84" t="s">
        <v>24</v>
      </c>
      <c r="B121" s="44">
        <v>1</v>
      </c>
      <c r="C121" s="68">
        <v>7.915</v>
      </c>
      <c r="D121" s="63">
        <v>0.15</v>
      </c>
      <c r="E121" s="53">
        <v>1.976</v>
      </c>
    </row>
    <row r="122" spans="1:5" ht="15" thickBot="1" x14ac:dyDescent="0.35">
      <c r="A122" s="84" t="s">
        <v>25</v>
      </c>
      <c r="B122" s="44">
        <v>2</v>
      </c>
      <c r="C122" s="68">
        <v>7.915</v>
      </c>
      <c r="D122" s="64">
        <v>1.7</v>
      </c>
      <c r="E122" s="22">
        <v>4.6070000000000002</v>
      </c>
    </row>
    <row r="123" spans="1:5" ht="15" thickBot="1" x14ac:dyDescent="0.35">
      <c r="A123" s="84" t="s">
        <v>26</v>
      </c>
      <c r="B123" s="44">
        <v>3</v>
      </c>
      <c r="C123" s="68">
        <v>7.915</v>
      </c>
      <c r="D123" s="64">
        <v>4</v>
      </c>
      <c r="E123" s="22">
        <v>6.5279999999999996</v>
      </c>
    </row>
    <row r="124" spans="1:5" ht="15" thickBot="1" x14ac:dyDescent="0.35">
      <c r="A124" s="84" t="s">
        <v>27</v>
      </c>
      <c r="B124" s="47">
        <v>4</v>
      </c>
      <c r="C124" s="69">
        <v>7.915</v>
      </c>
      <c r="D124" s="66">
        <v>25</v>
      </c>
      <c r="E124" s="28">
        <v>7.915</v>
      </c>
    </row>
    <row r="125" spans="1:5" ht="15" thickBot="1" x14ac:dyDescent="0.35">
      <c r="A125" s="84" t="s">
        <v>28</v>
      </c>
      <c r="B125" s="57">
        <v>0</v>
      </c>
      <c r="C125" s="70">
        <v>7.8949999999999996</v>
      </c>
      <c r="D125" s="61">
        <v>0</v>
      </c>
      <c r="E125" s="50">
        <v>4.0640000000000001</v>
      </c>
    </row>
    <row r="126" spans="1:5" ht="15" thickBot="1" x14ac:dyDescent="0.35">
      <c r="A126" s="84" t="s">
        <v>29</v>
      </c>
      <c r="B126" s="44">
        <v>1</v>
      </c>
      <c r="C126" s="62">
        <v>7.8949999999999996</v>
      </c>
      <c r="D126" s="63">
        <v>-0.40300000000000002</v>
      </c>
      <c r="E126" s="53">
        <v>3.7709999999999999</v>
      </c>
    </row>
    <row r="127" spans="1:5" ht="15" thickBot="1" x14ac:dyDescent="0.35">
      <c r="A127" s="84" t="s">
        <v>22</v>
      </c>
      <c r="B127" s="44">
        <v>2</v>
      </c>
      <c r="C127" s="62">
        <v>7.8949999999999996</v>
      </c>
      <c r="D127" s="64">
        <v>3</v>
      </c>
      <c r="E127" s="22">
        <v>6.7679999999999998</v>
      </c>
    </row>
    <row r="128" spans="1:5" ht="15" thickBot="1" x14ac:dyDescent="0.35">
      <c r="A128" s="84" t="s">
        <v>23</v>
      </c>
      <c r="B128" s="44">
        <v>3</v>
      </c>
      <c r="C128" s="62">
        <v>7.8949999999999996</v>
      </c>
      <c r="D128" s="64">
        <v>5</v>
      </c>
      <c r="E128" s="22">
        <v>7.3689999999999998</v>
      </c>
    </row>
    <row r="129" spans="1:5" ht="15" thickBot="1" x14ac:dyDescent="0.35">
      <c r="A129" s="84" t="s">
        <v>24</v>
      </c>
      <c r="B129" s="47">
        <v>4</v>
      </c>
      <c r="C129" s="65">
        <v>7.8949999999999996</v>
      </c>
      <c r="D129" s="66">
        <v>24</v>
      </c>
      <c r="E129" s="28">
        <v>7.8949999999999996</v>
      </c>
    </row>
    <row r="130" spans="1:5" ht="15" thickBot="1" x14ac:dyDescent="0.35">
      <c r="A130" s="84" t="s">
        <v>29</v>
      </c>
      <c r="B130" s="57">
        <v>0</v>
      </c>
      <c r="C130" s="67">
        <v>7.8440000000000003</v>
      </c>
      <c r="D130" s="61">
        <v>0</v>
      </c>
      <c r="E130" s="50">
        <v>5.3739999999999997</v>
      </c>
    </row>
    <row r="131" spans="1:5" ht="15" thickBot="1" x14ac:dyDescent="0.35">
      <c r="A131" s="84" t="s">
        <v>26</v>
      </c>
      <c r="B131" s="44">
        <v>1</v>
      </c>
      <c r="C131" s="68">
        <v>7.8440000000000003</v>
      </c>
      <c r="D131" s="63">
        <v>0.25</v>
      </c>
      <c r="E131" s="53">
        <v>2.431</v>
      </c>
    </row>
    <row r="132" spans="1:5" ht="15" thickBot="1" x14ac:dyDescent="0.35">
      <c r="A132" s="84" t="s">
        <v>27</v>
      </c>
      <c r="B132" s="44">
        <v>2</v>
      </c>
      <c r="C132" s="68">
        <v>7.8440000000000003</v>
      </c>
      <c r="D132" s="64">
        <v>2</v>
      </c>
      <c r="E132" s="22">
        <v>5.1050000000000004</v>
      </c>
    </row>
    <row r="133" spans="1:5" ht="15" thickBot="1" x14ac:dyDescent="0.35">
      <c r="A133" s="84" t="s">
        <v>28</v>
      </c>
      <c r="B133" s="44">
        <v>3</v>
      </c>
      <c r="C133" s="68">
        <v>7.8440000000000003</v>
      </c>
      <c r="D133" s="64">
        <v>5</v>
      </c>
      <c r="E133" s="22">
        <v>6.9939999999999998</v>
      </c>
    </row>
    <row r="134" spans="1:5" ht="15" thickBot="1" x14ac:dyDescent="0.35">
      <c r="A134" s="84" t="s">
        <v>29</v>
      </c>
      <c r="B134" s="47">
        <v>4</v>
      </c>
      <c r="C134" s="69">
        <v>7.8440000000000003</v>
      </c>
      <c r="D134" s="66">
        <v>25</v>
      </c>
      <c r="E134" s="28">
        <v>7.8440000000000003</v>
      </c>
    </row>
    <row r="135" spans="1:5" ht="15" thickBot="1" x14ac:dyDescent="0.35">
      <c r="A135" s="84" t="s">
        <v>30</v>
      </c>
      <c r="B135" s="57">
        <v>0</v>
      </c>
      <c r="C135" s="70">
        <v>7.7549999999999999</v>
      </c>
      <c r="D135" s="61">
        <v>0</v>
      </c>
      <c r="E135" s="50">
        <v>3.4550000000000001</v>
      </c>
    </row>
    <row r="136" spans="1:5" ht="15" thickBot="1" x14ac:dyDescent="0.35">
      <c r="A136" s="84"/>
      <c r="B136" s="44">
        <v>1</v>
      </c>
      <c r="C136" s="62">
        <v>7.7549999999999999</v>
      </c>
      <c r="D136" s="63">
        <v>0.189</v>
      </c>
      <c r="E136" s="53">
        <v>4.2850000000000001</v>
      </c>
    </row>
    <row r="137" spans="1:5" ht="15" thickBot="1" x14ac:dyDescent="0.35">
      <c r="A137" s="84"/>
      <c r="B137" s="44">
        <v>2</v>
      </c>
      <c r="C137" s="62">
        <v>7.7549999999999999</v>
      </c>
      <c r="D137" s="64">
        <v>2.5</v>
      </c>
      <c r="E137" s="22">
        <v>6.3979999999999997</v>
      </c>
    </row>
    <row r="138" spans="1:5" ht="15" thickBot="1" x14ac:dyDescent="0.35">
      <c r="A138" s="84"/>
      <c r="B138" s="44">
        <v>3</v>
      </c>
      <c r="C138" s="62">
        <v>7.7549999999999999</v>
      </c>
      <c r="D138" s="64">
        <v>4</v>
      </c>
      <c r="E138" s="22">
        <v>7.0179999999999998</v>
      </c>
    </row>
    <row r="139" spans="1:5" ht="15" thickBot="1" x14ac:dyDescent="0.35">
      <c r="A139" s="84"/>
      <c r="B139" s="47">
        <v>4</v>
      </c>
      <c r="C139" s="65">
        <v>7.7549999999999999</v>
      </c>
      <c r="D139" s="66">
        <v>23</v>
      </c>
      <c r="E139" s="28">
        <v>7.7549999999999999</v>
      </c>
    </row>
    <row r="140" spans="1:5" ht="15" customHeight="1" x14ac:dyDescent="0.3">
      <c r="A140" s="80" t="s">
        <v>31</v>
      </c>
      <c r="B140" s="57">
        <v>0</v>
      </c>
      <c r="C140" s="67">
        <v>7.9880000000000004</v>
      </c>
      <c r="D140" s="61">
        <v>0</v>
      </c>
      <c r="E140" s="50">
        <v>6.2569999999999997</v>
      </c>
    </row>
    <row r="141" spans="1:5" ht="15" customHeight="1" x14ac:dyDescent="0.3">
      <c r="A141" s="77"/>
      <c r="B141" s="44">
        <v>1</v>
      </c>
      <c r="C141" s="68">
        <v>7.9880000000000004</v>
      </c>
      <c r="D141" s="63">
        <v>-0.15</v>
      </c>
      <c r="E141" s="53">
        <v>1.7150000000000001</v>
      </c>
    </row>
    <row r="142" spans="1:5" ht="15" customHeight="1" x14ac:dyDescent="0.3">
      <c r="A142" s="77"/>
      <c r="B142" s="44">
        <v>2</v>
      </c>
      <c r="C142" s="68">
        <v>7.9880000000000004</v>
      </c>
      <c r="D142" s="64">
        <v>3</v>
      </c>
      <c r="E142" s="22">
        <v>6.0119999999999996</v>
      </c>
    </row>
    <row r="143" spans="1:5" ht="15" customHeight="1" x14ac:dyDescent="0.3">
      <c r="A143" s="77"/>
      <c r="B143" s="44">
        <v>3</v>
      </c>
      <c r="C143" s="68">
        <v>7.9880000000000004</v>
      </c>
      <c r="D143" s="64">
        <v>6</v>
      </c>
      <c r="E143" s="22">
        <v>7.3289999999999997</v>
      </c>
    </row>
    <row r="144" spans="1:5" ht="15" customHeight="1" thickBot="1" x14ac:dyDescent="0.35">
      <c r="A144" s="78"/>
      <c r="B144" s="47">
        <v>4</v>
      </c>
      <c r="C144" s="69">
        <v>7.9880000000000004</v>
      </c>
      <c r="D144" s="66">
        <v>26</v>
      </c>
      <c r="E144" s="28">
        <v>7.9880000000000004</v>
      </c>
    </row>
    <row r="145" spans="1:5" ht="15" thickBot="1" x14ac:dyDescent="0.35">
      <c r="A145" s="84" t="s">
        <v>32</v>
      </c>
      <c r="B145" s="57">
        <v>0</v>
      </c>
      <c r="C145" s="70">
        <v>7.9770000000000003</v>
      </c>
      <c r="D145" s="61">
        <v>0</v>
      </c>
      <c r="E145" s="50">
        <v>6.8869999999999996</v>
      </c>
    </row>
    <row r="146" spans="1:5" ht="15" thickBot="1" x14ac:dyDescent="0.35">
      <c r="A146" s="84"/>
      <c r="B146" s="44">
        <v>1</v>
      </c>
      <c r="C146" s="62">
        <v>7.9770000000000003</v>
      </c>
      <c r="D146" s="63">
        <v>0.43</v>
      </c>
      <c r="E146" s="53">
        <v>0.95</v>
      </c>
    </row>
    <row r="147" spans="1:5" ht="15" thickBot="1" x14ac:dyDescent="0.35">
      <c r="A147" s="84"/>
      <c r="B147" s="44">
        <v>2</v>
      </c>
      <c r="C147" s="62">
        <v>7.9770000000000003</v>
      </c>
      <c r="D147" s="64">
        <v>2</v>
      </c>
      <c r="E147" s="22">
        <v>4.6870000000000003</v>
      </c>
    </row>
    <row r="148" spans="1:5" ht="15" thickBot="1" x14ac:dyDescent="0.35">
      <c r="A148" s="84"/>
      <c r="B148" s="44">
        <v>3</v>
      </c>
      <c r="C148" s="62">
        <v>7.9770000000000003</v>
      </c>
      <c r="D148" s="64">
        <v>5</v>
      </c>
      <c r="E148" s="22">
        <v>6.6630000000000003</v>
      </c>
    </row>
    <row r="149" spans="1:5" ht="15" thickBot="1" x14ac:dyDescent="0.35">
      <c r="A149" s="84"/>
      <c r="B149" s="47">
        <v>4</v>
      </c>
      <c r="C149" s="65">
        <v>7.9770000000000003</v>
      </c>
      <c r="D149" s="66">
        <v>27</v>
      </c>
      <c r="E149" s="28">
        <v>7.9770000000000003</v>
      </c>
    </row>
    <row r="150" spans="1:5" ht="15" thickBot="1" x14ac:dyDescent="0.35">
      <c r="A150" s="84" t="s">
        <v>33</v>
      </c>
      <c r="B150" s="57">
        <v>0</v>
      </c>
      <c r="C150" s="67">
        <v>7.9770000000000003</v>
      </c>
      <c r="D150" s="61">
        <v>0</v>
      </c>
      <c r="E150" s="50">
        <v>6.7370000000000001</v>
      </c>
    </row>
    <row r="151" spans="1:5" ht="15" thickBot="1" x14ac:dyDescent="0.35">
      <c r="A151" s="84"/>
      <c r="B151" s="44">
        <v>1</v>
      </c>
      <c r="C151" s="68">
        <v>7.9770000000000003</v>
      </c>
      <c r="D151" s="63">
        <v>0.25900000000000001</v>
      </c>
      <c r="E151" s="53">
        <v>1.1930000000000001</v>
      </c>
    </row>
    <row r="152" spans="1:5" ht="15" thickBot="1" x14ac:dyDescent="0.35">
      <c r="A152" s="84"/>
      <c r="B152" s="44">
        <v>2</v>
      </c>
      <c r="C152" s="68">
        <v>7.9770000000000003</v>
      </c>
      <c r="D152" s="64">
        <v>2.2000000000000002</v>
      </c>
      <c r="E152" s="22">
        <v>4.649</v>
      </c>
    </row>
    <row r="153" spans="1:5" ht="15" thickBot="1" x14ac:dyDescent="0.35">
      <c r="A153" s="84"/>
      <c r="B153" s="44">
        <v>3</v>
      </c>
      <c r="C153" s="68">
        <v>7.9770000000000003</v>
      </c>
      <c r="D153" s="64">
        <v>6</v>
      </c>
      <c r="E153" s="22">
        <v>7.1520000000000001</v>
      </c>
    </row>
    <row r="154" spans="1:5" ht="15" thickBot="1" x14ac:dyDescent="0.35">
      <c r="A154" s="84"/>
      <c r="B154" s="47">
        <v>4</v>
      </c>
      <c r="C154" s="69">
        <v>7.9770000000000003</v>
      </c>
      <c r="D154" s="66">
        <v>27</v>
      </c>
      <c r="E154" s="28">
        <v>7.9770000000000003</v>
      </c>
    </row>
    <row r="155" spans="1:5" ht="15" thickBot="1" x14ac:dyDescent="0.35">
      <c r="A155" s="84" t="s">
        <v>34</v>
      </c>
      <c r="B155" s="57">
        <v>0</v>
      </c>
      <c r="C155" s="70">
        <v>7.9770000000000003</v>
      </c>
      <c r="D155" s="61">
        <v>0</v>
      </c>
      <c r="E155" s="50">
        <v>7.4870000000000001</v>
      </c>
    </row>
    <row r="156" spans="1:5" ht="15" thickBot="1" x14ac:dyDescent="0.35">
      <c r="A156" s="84"/>
      <c r="B156" s="44">
        <v>1</v>
      </c>
      <c r="C156" s="62">
        <v>7.9770000000000003</v>
      </c>
      <c r="D156" s="63">
        <v>0.52200000000000002</v>
      </c>
      <c r="E156" s="53">
        <v>0.25900000000000001</v>
      </c>
    </row>
    <row r="157" spans="1:5" ht="15" thickBot="1" x14ac:dyDescent="0.35">
      <c r="A157" s="84"/>
      <c r="B157" s="44">
        <v>2</v>
      </c>
      <c r="C157" s="62">
        <v>7.9770000000000003</v>
      </c>
      <c r="D157" s="64">
        <v>2.5</v>
      </c>
      <c r="E157" s="22">
        <v>4.242</v>
      </c>
    </row>
    <row r="158" spans="1:5" ht="15" thickBot="1" x14ac:dyDescent="0.35">
      <c r="A158" s="84"/>
      <c r="B158" s="44">
        <v>3</v>
      </c>
      <c r="C158" s="62">
        <v>7.9770000000000003</v>
      </c>
      <c r="D158" s="64">
        <v>5.5</v>
      </c>
      <c r="E158" s="22">
        <v>6.7350000000000003</v>
      </c>
    </row>
    <row r="159" spans="1:5" ht="15" thickBot="1" x14ac:dyDescent="0.35">
      <c r="A159" s="84"/>
      <c r="B159" s="47">
        <v>4</v>
      </c>
      <c r="C159" s="65">
        <v>7.9770000000000003</v>
      </c>
      <c r="D159" s="66">
        <v>27</v>
      </c>
      <c r="E159" s="28">
        <v>7.9770000000000003</v>
      </c>
    </row>
    <row r="160" spans="1:5" ht="15" thickBot="1" x14ac:dyDescent="0.35">
      <c r="A160" s="84" t="s">
        <v>35</v>
      </c>
      <c r="B160" s="57">
        <v>0</v>
      </c>
      <c r="C160" s="67">
        <v>7.9880000000000004</v>
      </c>
      <c r="D160" s="61">
        <v>0</v>
      </c>
      <c r="E160" s="50">
        <v>7.5469999999999997</v>
      </c>
    </row>
    <row r="161" spans="1:5" ht="15" thickBot="1" x14ac:dyDescent="0.35">
      <c r="A161" s="84"/>
      <c r="B161" s="44">
        <v>1</v>
      </c>
      <c r="C161" s="68">
        <v>7.9880000000000004</v>
      </c>
      <c r="D161" s="63">
        <v>1.1399999999999999</v>
      </c>
      <c r="E161" s="53">
        <v>-1.1060000000000001</v>
      </c>
    </row>
    <row r="162" spans="1:5" ht="15" thickBot="1" x14ac:dyDescent="0.35">
      <c r="A162" s="84"/>
      <c r="B162" s="44">
        <v>2</v>
      </c>
      <c r="C162" s="68">
        <v>7.9880000000000004</v>
      </c>
      <c r="D162" s="64">
        <v>3</v>
      </c>
      <c r="E162" s="22">
        <v>3.3780000000000001</v>
      </c>
    </row>
    <row r="163" spans="1:5" ht="15" thickBot="1" x14ac:dyDescent="0.35">
      <c r="A163" s="84"/>
      <c r="B163" s="44">
        <v>3</v>
      </c>
      <c r="C163" s="68">
        <v>7.9880000000000004</v>
      </c>
      <c r="D163" s="64">
        <v>6</v>
      </c>
      <c r="E163" s="22">
        <v>6.45</v>
      </c>
    </row>
    <row r="164" spans="1:5" ht="15" thickBot="1" x14ac:dyDescent="0.35">
      <c r="A164" s="84"/>
      <c r="B164" s="47">
        <v>4</v>
      </c>
      <c r="C164" s="69">
        <v>7.9880000000000004</v>
      </c>
      <c r="D164" s="66">
        <v>28</v>
      </c>
      <c r="E164" s="28">
        <v>7.9880000000000004</v>
      </c>
    </row>
    <row r="165" spans="1:5" ht="15" thickBot="1" x14ac:dyDescent="0.35">
      <c r="A165" s="85" t="s">
        <v>36</v>
      </c>
      <c r="B165" s="57">
        <v>0</v>
      </c>
      <c r="C165" s="70">
        <v>7.9770000000000003</v>
      </c>
      <c r="D165" s="61">
        <v>0</v>
      </c>
      <c r="E165" s="50">
        <v>7.4569999999999999</v>
      </c>
    </row>
    <row r="166" spans="1:5" ht="15" thickBot="1" x14ac:dyDescent="0.35">
      <c r="A166" s="85"/>
      <c r="B166" s="44">
        <v>1</v>
      </c>
      <c r="C166" s="62">
        <v>7.9770000000000003</v>
      </c>
      <c r="D166" s="63">
        <v>0.47</v>
      </c>
      <c r="E166" s="53">
        <v>0.33500000000000002</v>
      </c>
    </row>
    <row r="167" spans="1:5" ht="15" thickBot="1" x14ac:dyDescent="0.35">
      <c r="A167" s="85"/>
      <c r="B167" s="44">
        <v>2</v>
      </c>
      <c r="C167" s="62">
        <v>7.9770000000000003</v>
      </c>
      <c r="D167" s="64">
        <v>2.6</v>
      </c>
      <c r="E167" s="22">
        <v>4.476</v>
      </c>
    </row>
    <row r="168" spans="1:5" ht="15" thickBot="1" x14ac:dyDescent="0.35">
      <c r="A168" s="85"/>
      <c r="B168" s="44">
        <v>3</v>
      </c>
      <c r="C168" s="62">
        <v>7.9770000000000003</v>
      </c>
      <c r="D168" s="64">
        <v>6</v>
      </c>
      <c r="E168" s="22">
        <v>6.9720000000000004</v>
      </c>
    </row>
    <row r="169" spans="1:5" ht="15" thickBot="1" x14ac:dyDescent="0.35">
      <c r="A169" s="86"/>
      <c r="B169" s="47">
        <v>4</v>
      </c>
      <c r="C169" s="65">
        <v>7.9770000000000003</v>
      </c>
      <c r="D169" s="66">
        <v>27</v>
      </c>
      <c r="E169" s="28">
        <v>7.9770000000000003</v>
      </c>
    </row>
    <row r="170" spans="1:5" ht="15" thickBot="1" x14ac:dyDescent="0.35">
      <c r="A170" s="78" t="s">
        <v>37</v>
      </c>
      <c r="B170" s="57">
        <v>0</v>
      </c>
      <c r="C170" s="67">
        <v>7.9669999999999996</v>
      </c>
      <c r="D170" s="61">
        <v>0</v>
      </c>
      <c r="E170" s="50">
        <v>7.4359999999999999</v>
      </c>
    </row>
    <row r="171" spans="1:5" ht="15" thickBot="1" x14ac:dyDescent="0.35">
      <c r="A171" s="84"/>
      <c r="B171" s="44">
        <v>1</v>
      </c>
      <c r="C171" s="68">
        <v>7.9669999999999996</v>
      </c>
      <c r="D171" s="63">
        <v>0.49</v>
      </c>
      <c r="E171" s="53">
        <v>0.32300000000000001</v>
      </c>
    </row>
    <row r="172" spans="1:5" ht="15" thickBot="1" x14ac:dyDescent="0.35">
      <c r="A172" s="84"/>
      <c r="B172" s="44">
        <v>2</v>
      </c>
      <c r="C172" s="68">
        <v>7.9669999999999996</v>
      </c>
      <c r="D172" s="64">
        <v>2.5</v>
      </c>
      <c r="E172" s="22">
        <v>4.319</v>
      </c>
    </row>
    <row r="173" spans="1:5" ht="15" thickBot="1" x14ac:dyDescent="0.35">
      <c r="A173" s="84"/>
      <c r="B173" s="44">
        <v>3</v>
      </c>
      <c r="C173" s="68">
        <v>7.9669999999999996</v>
      </c>
      <c r="D173" s="64">
        <v>5</v>
      </c>
      <c r="E173" s="22">
        <v>6.5170000000000003</v>
      </c>
    </row>
    <row r="174" spans="1:5" ht="15" thickBot="1" x14ac:dyDescent="0.35">
      <c r="A174" s="84"/>
      <c r="B174" s="47">
        <v>4</v>
      </c>
      <c r="C174" s="69">
        <v>7.9669999999999996</v>
      </c>
      <c r="D174" s="66">
        <v>27</v>
      </c>
      <c r="E174" s="28">
        <v>7.9669999999999996</v>
      </c>
    </row>
    <row r="175" spans="1:5" ht="15" thickBot="1" x14ac:dyDescent="0.35">
      <c r="A175" s="84" t="s">
        <v>38</v>
      </c>
      <c r="B175" s="57">
        <v>0</v>
      </c>
      <c r="C175" s="70">
        <v>7.9770000000000003</v>
      </c>
      <c r="D175" s="61">
        <v>0</v>
      </c>
      <c r="E175" s="50">
        <v>7.6970000000000001</v>
      </c>
    </row>
    <row r="176" spans="1:5" ht="15" thickBot="1" x14ac:dyDescent="0.35">
      <c r="A176" s="84"/>
      <c r="B176" s="44">
        <v>1</v>
      </c>
      <c r="C176" s="62">
        <v>7.9770000000000003</v>
      </c>
      <c r="D176" s="63">
        <v>0.7</v>
      </c>
      <c r="E176" s="53">
        <v>-0.18</v>
      </c>
    </row>
    <row r="177" spans="1:5" ht="15" thickBot="1" x14ac:dyDescent="0.35">
      <c r="A177" s="84"/>
      <c r="B177" s="44">
        <v>2</v>
      </c>
      <c r="C177" s="62">
        <v>7.9770000000000003</v>
      </c>
      <c r="D177" s="64">
        <v>3</v>
      </c>
      <c r="E177" s="22">
        <v>4.4690000000000003</v>
      </c>
    </row>
    <row r="178" spans="1:5" ht="15" thickBot="1" x14ac:dyDescent="0.35">
      <c r="A178" s="84"/>
      <c r="B178" s="44">
        <v>3</v>
      </c>
      <c r="C178" s="62">
        <v>7.9770000000000003</v>
      </c>
      <c r="D178" s="64">
        <v>6</v>
      </c>
      <c r="E178" s="22">
        <v>6.81</v>
      </c>
    </row>
    <row r="179" spans="1:5" ht="15" thickBot="1" x14ac:dyDescent="0.35">
      <c r="A179" s="84"/>
      <c r="B179" s="47">
        <v>4</v>
      </c>
      <c r="C179" s="65">
        <v>7.9770000000000003</v>
      </c>
      <c r="D179" s="66">
        <v>28</v>
      </c>
      <c r="E179" s="28">
        <v>7.9770000000000003</v>
      </c>
    </row>
    <row r="180" spans="1:5" ht="15" thickBot="1" x14ac:dyDescent="0.35">
      <c r="A180" s="84" t="s">
        <v>39</v>
      </c>
      <c r="B180" s="57">
        <v>0</v>
      </c>
      <c r="C180" s="67">
        <v>7.9669999999999996</v>
      </c>
      <c r="D180" s="61">
        <v>0</v>
      </c>
      <c r="E180" s="50">
        <v>7.476</v>
      </c>
    </row>
    <row r="181" spans="1:5" ht="15" thickBot="1" x14ac:dyDescent="0.35">
      <c r="A181" s="84"/>
      <c r="B181" s="44">
        <v>1</v>
      </c>
      <c r="C181" s="68">
        <v>7.9669999999999996</v>
      </c>
      <c r="D181" s="63">
        <v>0.61099999999999999</v>
      </c>
      <c r="E181" s="53">
        <v>0.159</v>
      </c>
    </row>
    <row r="182" spans="1:5" ht="15" thickBot="1" x14ac:dyDescent="0.35">
      <c r="A182" s="84"/>
      <c r="B182" s="44">
        <v>2</v>
      </c>
      <c r="C182" s="68">
        <v>7.9669999999999996</v>
      </c>
      <c r="D182" s="64">
        <v>2.5</v>
      </c>
      <c r="E182" s="22">
        <v>4.08</v>
      </c>
    </row>
    <row r="183" spans="1:5" ht="15" thickBot="1" x14ac:dyDescent="0.35">
      <c r="A183" s="84"/>
      <c r="B183" s="44">
        <v>3</v>
      </c>
      <c r="C183" s="68">
        <v>7.9669999999999996</v>
      </c>
      <c r="D183" s="64">
        <v>5</v>
      </c>
      <c r="E183" s="22">
        <v>6.4219999999999997</v>
      </c>
    </row>
    <row r="184" spans="1:5" ht="15" thickBot="1" x14ac:dyDescent="0.35">
      <c r="A184" s="84"/>
      <c r="B184" s="47">
        <v>4</v>
      </c>
      <c r="C184" s="69">
        <v>7.9669999999999996</v>
      </c>
      <c r="D184" s="66">
        <v>27</v>
      </c>
      <c r="E184" s="28">
        <v>7.9669999999999996</v>
      </c>
    </row>
    <row r="185" spans="1:5" ht="15" thickBot="1" x14ac:dyDescent="0.35">
      <c r="A185" s="84" t="s">
        <v>40</v>
      </c>
      <c r="B185" s="57">
        <v>0</v>
      </c>
      <c r="C185" s="70">
        <v>7.9560000000000004</v>
      </c>
      <c r="D185" s="61">
        <v>0</v>
      </c>
      <c r="E185" s="50">
        <v>7.2859999999999996</v>
      </c>
    </row>
    <row r="186" spans="1:5" ht="15" thickBot="1" x14ac:dyDescent="0.35">
      <c r="A186" s="84"/>
      <c r="B186" s="44">
        <v>1</v>
      </c>
      <c r="C186" s="62">
        <v>7.9560000000000004</v>
      </c>
      <c r="D186" s="63">
        <v>0.307</v>
      </c>
      <c r="E186" s="53">
        <v>0.59699999999999998</v>
      </c>
    </row>
    <row r="187" spans="1:5" ht="15" thickBot="1" x14ac:dyDescent="0.35">
      <c r="A187" s="84"/>
      <c r="B187" s="44">
        <v>2</v>
      </c>
      <c r="C187" s="62">
        <v>7.9560000000000004</v>
      </c>
      <c r="D187" s="64">
        <v>3</v>
      </c>
      <c r="E187" s="22">
        <v>5.2460000000000004</v>
      </c>
    </row>
    <row r="188" spans="1:5" ht="15" thickBot="1" x14ac:dyDescent="0.35">
      <c r="A188" s="84"/>
      <c r="B188" s="44">
        <v>3</v>
      </c>
      <c r="C188" s="62">
        <v>7.9560000000000004</v>
      </c>
      <c r="D188" s="64">
        <v>7</v>
      </c>
      <c r="E188" s="22">
        <v>7.3410000000000002</v>
      </c>
    </row>
    <row r="189" spans="1:5" ht="15" thickBot="1" x14ac:dyDescent="0.35">
      <c r="A189" s="84"/>
      <c r="B189" s="47">
        <v>4</v>
      </c>
      <c r="C189" s="65">
        <v>7.9560000000000004</v>
      </c>
      <c r="D189" s="66">
        <v>27</v>
      </c>
      <c r="E189" s="28">
        <v>7.9560000000000004</v>
      </c>
    </row>
    <row r="190" spans="1:5" ht="15" thickBot="1" x14ac:dyDescent="0.35">
      <c r="A190" s="84" t="s">
        <v>41</v>
      </c>
      <c r="B190" s="57">
        <v>0</v>
      </c>
      <c r="C190" s="67">
        <v>7.9880000000000004</v>
      </c>
      <c r="D190" s="61">
        <v>0</v>
      </c>
      <c r="E190" s="50">
        <v>7.1470000000000002</v>
      </c>
    </row>
    <row r="191" spans="1:5" ht="15" thickBot="1" x14ac:dyDescent="0.35">
      <c r="A191" s="84"/>
      <c r="B191" s="44">
        <v>1</v>
      </c>
      <c r="C191" s="68">
        <v>7.9880000000000004</v>
      </c>
      <c r="D191" s="63">
        <v>0.22500000000000001</v>
      </c>
      <c r="E191" s="53">
        <v>0.80300000000000005</v>
      </c>
    </row>
    <row r="192" spans="1:5" ht="15" thickBot="1" x14ac:dyDescent="0.35">
      <c r="A192" s="84"/>
      <c r="B192" s="44">
        <v>2</v>
      </c>
      <c r="C192" s="68">
        <v>7.9880000000000004</v>
      </c>
      <c r="D192" s="64">
        <v>2.5</v>
      </c>
      <c r="E192" s="22">
        <v>4.859</v>
      </c>
    </row>
    <row r="193" spans="1:5" ht="15" thickBot="1" x14ac:dyDescent="0.35">
      <c r="A193" s="84"/>
      <c r="B193" s="44">
        <v>3</v>
      </c>
      <c r="C193" s="68">
        <v>7.9880000000000004</v>
      </c>
      <c r="D193" s="64">
        <v>6</v>
      </c>
      <c r="E193" s="22">
        <v>6.7350000000000003</v>
      </c>
    </row>
    <row r="194" spans="1:5" ht="15" thickBot="1" x14ac:dyDescent="0.35">
      <c r="A194" s="87"/>
      <c r="B194" s="47">
        <v>4</v>
      </c>
      <c r="C194" s="69">
        <v>7.9880000000000004</v>
      </c>
      <c r="D194" s="66">
        <v>27</v>
      </c>
      <c r="E194" s="28">
        <v>7.9870000000000001</v>
      </c>
    </row>
    <row r="195" spans="1:5" ht="14.4" customHeight="1" x14ac:dyDescent="0.3">
      <c r="A195" s="10"/>
    </row>
    <row r="196" spans="1:5" ht="14.4" customHeight="1" x14ac:dyDescent="0.3">
      <c r="A196" s="10"/>
    </row>
    <row r="197" spans="1:5" ht="14.4" customHeight="1" x14ac:dyDescent="0.3">
      <c r="A197" s="10"/>
    </row>
    <row r="198" spans="1:5" ht="14.4" customHeight="1" x14ac:dyDescent="0.3">
      <c r="A198" s="10"/>
    </row>
    <row r="199" spans="1:5" ht="31.2" customHeight="1" x14ac:dyDescent="0.3">
      <c r="A199" s="35" t="s">
        <v>60</v>
      </c>
      <c r="B199" s="36" t="s">
        <v>114</v>
      </c>
    </row>
    <row r="200" spans="1:5" x14ac:dyDescent="0.3">
      <c r="A200" s="29" t="s">
        <v>4</v>
      </c>
      <c r="B200" s="32">
        <v>26</v>
      </c>
    </row>
    <row r="201" spans="1:5" x14ac:dyDescent="0.3">
      <c r="A201" s="30" t="s">
        <v>5</v>
      </c>
      <c r="B201" s="33">
        <v>28</v>
      </c>
    </row>
    <row r="202" spans="1:5" x14ac:dyDescent="0.3">
      <c r="A202" s="30" t="s">
        <v>6</v>
      </c>
      <c r="B202" s="33">
        <v>26</v>
      </c>
    </row>
    <row r="203" spans="1:5" x14ac:dyDescent="0.3">
      <c r="A203" s="30" t="s">
        <v>7</v>
      </c>
      <c r="B203" s="33">
        <v>26</v>
      </c>
    </row>
    <row r="204" spans="1:5" x14ac:dyDescent="0.3">
      <c r="A204" s="30" t="s">
        <v>8</v>
      </c>
      <c r="B204" s="33">
        <v>27</v>
      </c>
    </row>
    <row r="205" spans="1:5" x14ac:dyDescent="0.3">
      <c r="A205" s="30" t="s">
        <v>9</v>
      </c>
      <c r="B205" s="33">
        <v>26</v>
      </c>
    </row>
    <row r="206" spans="1:5" x14ac:dyDescent="0.3">
      <c r="A206" s="30" t="s">
        <v>10</v>
      </c>
      <c r="B206" s="33">
        <v>21</v>
      </c>
    </row>
    <row r="207" spans="1:5" x14ac:dyDescent="0.3">
      <c r="A207" s="30" t="s">
        <v>11</v>
      </c>
      <c r="B207" s="33">
        <v>25</v>
      </c>
    </row>
    <row r="208" spans="1:5" x14ac:dyDescent="0.3">
      <c r="A208" s="30" t="s">
        <v>12</v>
      </c>
      <c r="B208" s="33">
        <v>26</v>
      </c>
    </row>
    <row r="209" spans="1:2" x14ac:dyDescent="0.3">
      <c r="A209" s="30" t="s">
        <v>13</v>
      </c>
      <c r="B209" s="33">
        <v>27</v>
      </c>
    </row>
    <row r="210" spans="1:2" x14ac:dyDescent="0.3">
      <c r="A210" s="30" t="s">
        <v>14</v>
      </c>
      <c r="B210" s="33">
        <v>26</v>
      </c>
    </row>
    <row r="211" spans="1:2" x14ac:dyDescent="0.3">
      <c r="A211" s="30" t="s">
        <v>15</v>
      </c>
      <c r="B211" s="33">
        <v>27</v>
      </c>
    </row>
    <row r="212" spans="1:2" x14ac:dyDescent="0.3">
      <c r="A212" s="30" t="s">
        <v>16</v>
      </c>
      <c r="B212" s="33">
        <v>27</v>
      </c>
    </row>
    <row r="213" spans="1:2" x14ac:dyDescent="0.3">
      <c r="A213" s="30" t="s">
        <v>17</v>
      </c>
      <c r="B213" s="33">
        <v>29</v>
      </c>
    </row>
    <row r="214" spans="1:2" x14ac:dyDescent="0.3">
      <c r="A214" s="30" t="s">
        <v>18</v>
      </c>
      <c r="B214" s="33">
        <v>27</v>
      </c>
    </row>
    <row r="215" spans="1:2" x14ac:dyDescent="0.3">
      <c r="A215" s="30" t="s">
        <v>19</v>
      </c>
      <c r="B215" s="33">
        <v>26</v>
      </c>
    </row>
    <row r="216" spans="1:2" x14ac:dyDescent="0.3">
      <c r="A216" s="30" t="s">
        <v>20</v>
      </c>
      <c r="B216" s="33">
        <v>28</v>
      </c>
    </row>
    <row r="217" spans="1:2" x14ac:dyDescent="0.3">
      <c r="A217" s="30" t="s">
        <v>21</v>
      </c>
      <c r="B217" s="33">
        <v>21</v>
      </c>
    </row>
    <row r="218" spans="1:2" x14ac:dyDescent="0.3">
      <c r="A218" s="30" t="s">
        <v>22</v>
      </c>
      <c r="B218" s="33">
        <v>28</v>
      </c>
    </row>
    <row r="219" spans="1:2" x14ac:dyDescent="0.3">
      <c r="A219" s="30" t="s">
        <v>23</v>
      </c>
      <c r="B219" s="33">
        <v>29</v>
      </c>
    </row>
    <row r="220" spans="1:2" x14ac:dyDescent="0.3">
      <c r="A220" s="30" t="s">
        <v>24</v>
      </c>
      <c r="B220" s="33">
        <v>27</v>
      </c>
    </row>
    <row r="221" spans="1:2" x14ac:dyDescent="0.3">
      <c r="A221" s="30" t="s">
        <v>25</v>
      </c>
      <c r="B221" s="33">
        <v>24</v>
      </c>
    </row>
    <row r="222" spans="1:2" x14ac:dyDescent="0.3">
      <c r="A222" s="30" t="s">
        <v>26</v>
      </c>
      <c r="B222" s="33">
        <v>26</v>
      </c>
    </row>
    <row r="223" spans="1:2" x14ac:dyDescent="0.3">
      <c r="A223" s="30" t="s">
        <v>27</v>
      </c>
      <c r="B223" s="33">
        <v>25</v>
      </c>
    </row>
    <row r="224" spans="1:2" x14ac:dyDescent="0.3">
      <c r="A224" s="30" t="s">
        <v>28</v>
      </c>
      <c r="B224" s="33">
        <v>24</v>
      </c>
    </row>
    <row r="225" spans="1:2" x14ac:dyDescent="0.3">
      <c r="A225" s="30" t="s">
        <v>29</v>
      </c>
      <c r="B225" s="33">
        <v>25</v>
      </c>
    </row>
    <row r="226" spans="1:2" x14ac:dyDescent="0.3">
      <c r="A226" s="30" t="s">
        <v>30</v>
      </c>
      <c r="B226" s="33">
        <v>23</v>
      </c>
    </row>
    <row r="227" spans="1:2" x14ac:dyDescent="0.3">
      <c r="A227" s="30" t="s">
        <v>31</v>
      </c>
      <c r="B227" s="33">
        <v>26</v>
      </c>
    </row>
    <row r="228" spans="1:2" x14ac:dyDescent="0.3">
      <c r="A228" s="30" t="s">
        <v>32</v>
      </c>
      <c r="B228" s="33">
        <v>27</v>
      </c>
    </row>
    <row r="229" spans="1:2" x14ac:dyDescent="0.3">
      <c r="A229" s="30" t="s">
        <v>33</v>
      </c>
      <c r="B229" s="33">
        <v>27</v>
      </c>
    </row>
    <row r="230" spans="1:2" x14ac:dyDescent="0.3">
      <c r="A230" s="30" t="s">
        <v>34</v>
      </c>
      <c r="B230" s="33">
        <v>27</v>
      </c>
    </row>
    <row r="231" spans="1:2" x14ac:dyDescent="0.3">
      <c r="A231" s="30" t="s">
        <v>35</v>
      </c>
      <c r="B231" s="33">
        <v>28</v>
      </c>
    </row>
    <row r="232" spans="1:2" x14ac:dyDescent="0.3">
      <c r="A232" s="30" t="s">
        <v>36</v>
      </c>
      <c r="B232" s="33">
        <v>27</v>
      </c>
    </row>
    <row r="233" spans="1:2" x14ac:dyDescent="0.3">
      <c r="A233" s="30" t="s">
        <v>37</v>
      </c>
      <c r="B233" s="33">
        <v>27</v>
      </c>
    </row>
    <row r="234" spans="1:2" x14ac:dyDescent="0.3">
      <c r="A234" s="30" t="s">
        <v>38</v>
      </c>
      <c r="B234" s="33">
        <v>28</v>
      </c>
    </row>
    <row r="235" spans="1:2" x14ac:dyDescent="0.3">
      <c r="A235" s="30" t="s">
        <v>39</v>
      </c>
      <c r="B235" s="33">
        <v>27</v>
      </c>
    </row>
    <row r="236" spans="1:2" x14ac:dyDescent="0.3">
      <c r="A236" s="30" t="s">
        <v>40</v>
      </c>
      <c r="B236" s="33">
        <v>27</v>
      </c>
    </row>
    <row r="237" spans="1:2" x14ac:dyDescent="0.3">
      <c r="A237" s="31" t="s">
        <v>41</v>
      </c>
      <c r="B237" s="34">
        <v>27</v>
      </c>
    </row>
  </sheetData>
  <mergeCells count="39">
    <mergeCell ref="A180:A184"/>
    <mergeCell ref="A185:A189"/>
    <mergeCell ref="A190:A194"/>
    <mergeCell ref="A150:A154"/>
    <mergeCell ref="A155:A159"/>
    <mergeCell ref="A160:A164"/>
    <mergeCell ref="A165:A169"/>
    <mergeCell ref="A170:A174"/>
    <mergeCell ref="A175:A179"/>
    <mergeCell ref="A145:A14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4"/>
    <mergeCell ref="A135:A139"/>
    <mergeCell ref="A140:A144"/>
    <mergeCell ref="A85:A8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25:A29"/>
    <mergeCell ref="A2:E2"/>
    <mergeCell ref="A5:A9"/>
    <mergeCell ref="A10:A14"/>
    <mergeCell ref="A15:A19"/>
    <mergeCell ref="A20:A24"/>
  </mergeCells>
  <phoneticPr fontId="1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 Data</vt:lpstr>
      <vt:lpstr>Sag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saikot halder</dc:creator>
  <cp:lastModifiedBy>saikot halder</cp:lastModifiedBy>
  <dcterms:created xsi:type="dcterms:W3CDTF">2026-07-09T15:21:14Z</dcterms:created>
  <dcterms:modified xsi:type="dcterms:W3CDTF">2026-07-20T13:35:37Z</dcterms:modified>
</cp:coreProperties>
</file>